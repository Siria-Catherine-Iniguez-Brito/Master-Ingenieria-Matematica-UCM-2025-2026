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i/Downloads/"/>
    </mc:Choice>
  </mc:AlternateContent>
  <xr:revisionPtr revIDLastSave="0" documentId="13_ncr:1_{97100682-3BD3-A448-AEA9-92D2DDDE16C3}" xr6:coauthVersionLast="36" xr6:coauthVersionMax="36" xr10:uidLastSave="{00000000-0000-0000-0000-000000000000}"/>
  <bookViews>
    <workbookView xWindow="940" yWindow="560" windowWidth="19320" windowHeight="15940" activeTab="6" xr2:uid="{5A14EA96-49C6-1D4F-B085-BD125EDED212}"/>
  </bookViews>
  <sheets>
    <sheet name="PM" sheetId="3" r:id="rId1"/>
    <sheet name="PC" sheetId="4" r:id="rId2"/>
    <sheet name="PM_PC" sheetId="7" r:id="rId3"/>
    <sheet name="TAMAÑO POBLACION " sheetId="5" r:id="rId4"/>
    <sheet name="GENERACIONES" sheetId="6" r:id="rId5"/>
    <sheet name="RESULTADOS AG" sheetId="8" r:id="rId6"/>
    <sheet name="COMPRACION TIEMPO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9" l="1"/>
  <c r="F17" i="9" l="1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28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6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F4" i="9"/>
  <c r="F6" i="9"/>
  <c r="F7" i="9"/>
  <c r="F8" i="9"/>
  <c r="F9" i="9"/>
  <c r="F10" i="9"/>
  <c r="F11" i="9"/>
  <c r="F12" i="9"/>
  <c r="F13" i="9"/>
  <c r="F14" i="9"/>
  <c r="F15" i="9"/>
  <c r="F16" i="9"/>
  <c r="F18" i="9"/>
  <c r="F19" i="9"/>
  <c r="F20" i="9"/>
  <c r="F21" i="9"/>
  <c r="F22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4" i="9"/>
  <c r="J4" i="9"/>
  <c r="H4" i="9"/>
  <c r="G6" i="7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6" i="8"/>
  <c r="H6" i="6"/>
  <c r="H54" i="6"/>
  <c r="G54" i="6"/>
  <c r="H53" i="6"/>
  <c r="G53" i="6"/>
  <c r="H52" i="6"/>
  <c r="G52" i="6"/>
  <c r="H51" i="6"/>
  <c r="G51" i="6"/>
  <c r="H50" i="6"/>
  <c r="H49" i="6"/>
  <c r="G49" i="6"/>
  <c r="H48" i="6"/>
  <c r="G48" i="6"/>
  <c r="H47" i="6"/>
  <c r="G47" i="6"/>
  <c r="H46" i="6"/>
  <c r="G46" i="6"/>
  <c r="H45" i="6"/>
  <c r="H44" i="6"/>
  <c r="G44" i="6"/>
  <c r="H43" i="6"/>
  <c r="G43" i="6"/>
  <c r="H42" i="6"/>
  <c r="G42" i="6"/>
  <c r="H41" i="6"/>
  <c r="G41" i="6"/>
  <c r="H40" i="6"/>
  <c r="H39" i="6"/>
  <c r="G39" i="6"/>
  <c r="H38" i="6"/>
  <c r="G38" i="6"/>
  <c r="H37" i="6"/>
  <c r="G37" i="6"/>
  <c r="H36" i="6"/>
  <c r="G36" i="6"/>
  <c r="H35" i="6"/>
  <c r="H34" i="6"/>
  <c r="G34" i="6"/>
  <c r="H33" i="6"/>
  <c r="G33" i="6"/>
  <c r="H32" i="6"/>
  <c r="G32" i="6"/>
  <c r="H31" i="6"/>
  <c r="G31" i="6"/>
  <c r="H30" i="6"/>
  <c r="H29" i="6"/>
  <c r="G29" i="6"/>
  <c r="H28" i="6"/>
  <c r="G28" i="6"/>
  <c r="H27" i="6"/>
  <c r="G27" i="6"/>
  <c r="H26" i="6"/>
  <c r="G26" i="6"/>
  <c r="H25" i="6"/>
  <c r="H24" i="6"/>
  <c r="G24" i="6"/>
  <c r="H23" i="6"/>
  <c r="G23" i="6"/>
  <c r="H22" i="6"/>
  <c r="G22" i="6"/>
  <c r="H21" i="6"/>
  <c r="G21" i="6"/>
  <c r="H20" i="6"/>
  <c r="H19" i="6"/>
  <c r="G19" i="6"/>
  <c r="H18" i="6"/>
  <c r="G18" i="6"/>
  <c r="H17" i="6"/>
  <c r="G17" i="6"/>
  <c r="H16" i="6"/>
  <c r="G16" i="6"/>
  <c r="H15" i="6"/>
  <c r="H14" i="6"/>
  <c r="G14" i="6"/>
  <c r="H13" i="6"/>
  <c r="G13" i="6"/>
  <c r="H12" i="6"/>
  <c r="G12" i="6"/>
  <c r="H11" i="6"/>
  <c r="G11" i="6"/>
  <c r="H10" i="6"/>
  <c r="H9" i="6"/>
  <c r="G9" i="6"/>
  <c r="H8" i="6"/>
  <c r="G8" i="6"/>
  <c r="H7" i="6"/>
  <c r="G7" i="6"/>
  <c r="G6" i="6"/>
  <c r="H54" i="5"/>
  <c r="G54" i="5"/>
  <c r="H53" i="5"/>
  <c r="G53" i="5"/>
  <c r="H52" i="5"/>
  <c r="G52" i="5"/>
  <c r="H51" i="5"/>
  <c r="G51" i="5"/>
  <c r="H50" i="5"/>
  <c r="H49" i="5"/>
  <c r="G49" i="5"/>
  <c r="H48" i="5"/>
  <c r="G48" i="5"/>
  <c r="H47" i="5"/>
  <c r="G47" i="5"/>
  <c r="H46" i="5"/>
  <c r="G46" i="5"/>
  <c r="H45" i="5"/>
  <c r="H44" i="5"/>
  <c r="G44" i="5"/>
  <c r="H43" i="5"/>
  <c r="G43" i="5"/>
  <c r="H42" i="5"/>
  <c r="G42" i="5"/>
  <c r="H41" i="5"/>
  <c r="G41" i="5"/>
  <c r="H40" i="5"/>
  <c r="H39" i="5"/>
  <c r="G39" i="5"/>
  <c r="H38" i="5"/>
  <c r="G38" i="5"/>
  <c r="H37" i="5"/>
  <c r="G37" i="5"/>
  <c r="H36" i="5"/>
  <c r="G36" i="5"/>
  <c r="H35" i="5"/>
  <c r="H34" i="5"/>
  <c r="G34" i="5"/>
  <c r="H33" i="5"/>
  <c r="G33" i="5"/>
  <c r="H32" i="5"/>
  <c r="G32" i="5"/>
  <c r="H31" i="5"/>
  <c r="G31" i="5"/>
  <c r="H30" i="5"/>
  <c r="H29" i="5"/>
  <c r="G29" i="5"/>
  <c r="H28" i="5"/>
  <c r="G28" i="5"/>
  <c r="H27" i="5"/>
  <c r="G27" i="5"/>
  <c r="H26" i="5"/>
  <c r="G26" i="5"/>
  <c r="H25" i="5"/>
  <c r="H24" i="5"/>
  <c r="G24" i="5"/>
  <c r="H23" i="5"/>
  <c r="G23" i="5"/>
  <c r="H22" i="5"/>
  <c r="G22" i="5"/>
  <c r="H21" i="5"/>
  <c r="G21" i="5"/>
  <c r="H20" i="5"/>
  <c r="H19" i="5"/>
  <c r="G19" i="5"/>
  <c r="H18" i="5"/>
  <c r="G18" i="5"/>
  <c r="H17" i="5"/>
  <c r="G17" i="5"/>
  <c r="H16" i="5"/>
  <c r="G16" i="5"/>
  <c r="H15" i="5"/>
  <c r="H14" i="5"/>
  <c r="G14" i="5"/>
  <c r="H13" i="5"/>
  <c r="G13" i="5"/>
  <c r="H12" i="5"/>
  <c r="G12" i="5"/>
  <c r="H11" i="5"/>
  <c r="G11" i="5"/>
  <c r="H10" i="5"/>
  <c r="H9" i="5"/>
  <c r="G9" i="5"/>
  <c r="H8" i="5"/>
  <c r="G8" i="5"/>
  <c r="H7" i="5"/>
  <c r="G7" i="5"/>
  <c r="H6" i="5"/>
  <c r="G6" i="5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195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74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53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32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11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90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69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48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27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G6" i="4"/>
  <c r="G7" i="4"/>
  <c r="G8" i="4"/>
  <c r="G9" i="4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152" i="7"/>
  <c r="H195" i="7"/>
  <c r="H194" i="7"/>
  <c r="H177" i="7"/>
  <c r="H176" i="7"/>
  <c r="H175" i="7"/>
  <c r="H174" i="7"/>
  <c r="H173" i="7"/>
  <c r="H156" i="7"/>
  <c r="H155" i="7"/>
  <c r="H154" i="7"/>
  <c r="H153" i="7"/>
  <c r="H135" i="7"/>
  <c r="H134" i="7"/>
  <c r="H133" i="7"/>
  <c r="H132" i="7"/>
  <c r="H131" i="7"/>
  <c r="H111" i="7"/>
  <c r="H110" i="7"/>
  <c r="H93" i="7"/>
  <c r="H92" i="7"/>
  <c r="H91" i="7"/>
  <c r="H90" i="7"/>
  <c r="H89" i="7"/>
  <c r="H69" i="7"/>
  <c r="H68" i="7"/>
  <c r="H51" i="7"/>
  <c r="H50" i="7"/>
  <c r="H49" i="7"/>
  <c r="H48" i="7"/>
  <c r="H47" i="7"/>
  <c r="H30" i="7"/>
  <c r="H29" i="7"/>
  <c r="H28" i="7"/>
  <c r="H27" i="7"/>
  <c r="H26" i="7"/>
  <c r="H6" i="7"/>
  <c r="H6" i="4"/>
  <c r="H54" i="4"/>
  <c r="G54" i="4"/>
  <c r="H53" i="4"/>
  <c r="G53" i="4"/>
  <c r="H52" i="4"/>
  <c r="G52" i="4"/>
  <c r="H51" i="4"/>
  <c r="G51" i="4"/>
  <c r="H50" i="4"/>
  <c r="H49" i="4"/>
  <c r="G49" i="4"/>
  <c r="H48" i="4"/>
  <c r="G48" i="4"/>
  <c r="H47" i="4"/>
  <c r="G47" i="4"/>
  <c r="H46" i="4"/>
  <c r="G46" i="4"/>
  <c r="H45" i="4"/>
  <c r="H44" i="4"/>
  <c r="G44" i="4"/>
  <c r="H43" i="4"/>
  <c r="G43" i="4"/>
  <c r="H42" i="4"/>
  <c r="G42" i="4"/>
  <c r="H41" i="4"/>
  <c r="G41" i="4"/>
  <c r="H40" i="4"/>
  <c r="H39" i="4"/>
  <c r="G39" i="4"/>
  <c r="H38" i="4"/>
  <c r="G38" i="4"/>
  <c r="H37" i="4"/>
  <c r="G37" i="4"/>
  <c r="H36" i="4"/>
  <c r="G36" i="4"/>
  <c r="H35" i="4"/>
  <c r="H34" i="4"/>
  <c r="G34" i="4"/>
  <c r="H33" i="4"/>
  <c r="G33" i="4"/>
  <c r="H32" i="4"/>
  <c r="G32" i="4"/>
  <c r="H31" i="4"/>
  <c r="G31" i="4"/>
  <c r="H30" i="4"/>
  <c r="H29" i="4"/>
  <c r="G29" i="4"/>
  <c r="H28" i="4"/>
  <c r="G28" i="4"/>
  <c r="H27" i="4"/>
  <c r="G27" i="4"/>
  <c r="H26" i="4"/>
  <c r="G26" i="4"/>
  <c r="H25" i="4"/>
  <c r="H24" i="4"/>
  <c r="G24" i="4"/>
  <c r="H23" i="4"/>
  <c r="G23" i="4"/>
  <c r="H22" i="4"/>
  <c r="G22" i="4"/>
  <c r="H21" i="4"/>
  <c r="G21" i="4"/>
  <c r="H20" i="4"/>
  <c r="H19" i="4"/>
  <c r="G19" i="4"/>
  <c r="H18" i="4"/>
  <c r="G18" i="4"/>
  <c r="H17" i="4"/>
  <c r="G17" i="4"/>
  <c r="H16" i="4"/>
  <c r="G16" i="4"/>
  <c r="H15" i="4"/>
  <c r="H14" i="4"/>
  <c r="G14" i="4"/>
  <c r="H13" i="4"/>
  <c r="G13" i="4"/>
  <c r="H12" i="4"/>
  <c r="G12" i="4"/>
  <c r="H11" i="4"/>
  <c r="G11" i="4"/>
  <c r="H10" i="4"/>
  <c r="H9" i="4"/>
  <c r="H8" i="4"/>
  <c r="H7" i="4"/>
  <c r="G61" i="3"/>
  <c r="G62" i="3"/>
  <c r="G63" i="3"/>
  <c r="G64" i="3"/>
  <c r="G60" i="3"/>
  <c r="G55" i="3"/>
  <c r="G56" i="3"/>
  <c r="G57" i="3"/>
  <c r="G58" i="3"/>
  <c r="G54" i="3"/>
  <c r="G49" i="3"/>
  <c r="G50" i="3"/>
  <c r="G51" i="3"/>
  <c r="G52" i="3"/>
  <c r="G48" i="3"/>
  <c r="G46" i="3"/>
  <c r="H11" i="3"/>
  <c r="H17" i="3"/>
  <c r="H23" i="3"/>
  <c r="H29" i="3"/>
  <c r="H35" i="3"/>
  <c r="H41" i="3"/>
  <c r="H47" i="3"/>
  <c r="H53" i="3"/>
  <c r="H59" i="3"/>
  <c r="H36" i="3"/>
  <c r="H64" i="3"/>
  <c r="H63" i="3"/>
  <c r="H62" i="3"/>
  <c r="H61" i="3"/>
  <c r="H60" i="3"/>
  <c r="H7" i="3"/>
  <c r="H6" i="3"/>
  <c r="H48" i="3"/>
  <c r="H49" i="3"/>
  <c r="H50" i="3"/>
  <c r="H51" i="3"/>
  <c r="H52" i="3"/>
  <c r="H54" i="3"/>
  <c r="H55" i="3"/>
  <c r="H56" i="3"/>
  <c r="H57" i="3"/>
  <c r="H58" i="3"/>
  <c r="G43" i="3"/>
  <c r="G44" i="3"/>
  <c r="G45" i="3"/>
  <c r="G42" i="3"/>
  <c r="G37" i="3"/>
  <c r="G38" i="3"/>
  <c r="G39" i="3"/>
  <c r="G40" i="3"/>
  <c r="G36" i="3"/>
  <c r="G31" i="3"/>
  <c r="G32" i="3"/>
  <c r="G33" i="3"/>
  <c r="G34" i="3"/>
  <c r="G30" i="3"/>
  <c r="G25" i="3"/>
  <c r="G26" i="3"/>
  <c r="G27" i="3"/>
  <c r="G28" i="3"/>
  <c r="G24" i="3"/>
  <c r="G19" i="3"/>
  <c r="G20" i="3"/>
  <c r="G21" i="3"/>
  <c r="G22" i="3"/>
  <c r="G18" i="3"/>
  <c r="G12" i="3"/>
  <c r="G13" i="3"/>
  <c r="G14" i="3"/>
  <c r="G15" i="3"/>
  <c r="G16" i="3"/>
  <c r="G7" i="3"/>
  <c r="G8" i="3"/>
  <c r="G9" i="3"/>
  <c r="G10" i="3"/>
  <c r="G6" i="3"/>
  <c r="H42" i="3" l="1"/>
  <c r="H43" i="3"/>
  <c r="H44" i="3"/>
  <c r="H45" i="3"/>
  <c r="H46" i="3"/>
  <c r="H40" i="3"/>
  <c r="H39" i="3"/>
  <c r="H38" i="3"/>
  <c r="H37" i="3"/>
  <c r="H34" i="3"/>
  <c r="H33" i="3"/>
  <c r="H32" i="3"/>
  <c r="H31" i="3"/>
  <c r="H30" i="3"/>
  <c r="H28" i="3"/>
  <c r="H27" i="3"/>
  <c r="H26" i="3"/>
  <c r="H25" i="3"/>
  <c r="H24" i="3"/>
  <c r="H22" i="3"/>
  <c r="H21" i="3"/>
  <c r="H20" i="3"/>
  <c r="H19" i="3"/>
  <c r="H18" i="3"/>
  <c r="H16" i="3"/>
  <c r="H15" i="3"/>
  <c r="H14" i="3"/>
  <c r="H13" i="3"/>
  <c r="H12" i="3"/>
  <c r="H10" i="3"/>
  <c r="H9" i="3"/>
  <c r="H8" i="3"/>
</calcChain>
</file>

<file path=xl/sharedStrings.xml><?xml version="1.0" encoding="utf-8"?>
<sst xmlns="http://schemas.openxmlformats.org/spreadsheetml/2006/main" count="1141" uniqueCount="108">
  <si>
    <t>Instancia</t>
  </si>
  <si>
    <t>Opción</t>
  </si>
  <si>
    <t>---</t>
  </si>
  <si>
    <t>SOM-b_8_n200_m80.txt</t>
  </si>
  <si>
    <t>MDG-c_1_n3000_m300.txt</t>
  </si>
  <si>
    <t>Best Value</t>
  </si>
  <si>
    <t>GKD-c_1_n500_m50.txt</t>
  </si>
  <si>
    <t>GKD-c_2_n500_m50.txt</t>
  </si>
  <si>
    <t>GKD-c_19_n500_m50.txt</t>
  </si>
  <si>
    <t>GKD-c_20_n500_m50.txt</t>
  </si>
  <si>
    <t>SOM-b_1_n100_m10.txt</t>
  </si>
  <si>
    <t>SOM-b_2_n100_m20.txt</t>
  </si>
  <si>
    <t>SOM-b_4_n100_m40.txt</t>
  </si>
  <si>
    <t>SOM-b_12_n300_m120.txt</t>
  </si>
  <si>
    <t>SOM-b_16_n400_m160.txt</t>
  </si>
  <si>
    <t>SOM-b_20_n500_m200.txt</t>
  </si>
  <si>
    <t>MDG-a_1_n500_m50.txt</t>
  </si>
  <si>
    <t>MDG-a_2_n500_m50.txt</t>
  </si>
  <si>
    <t>MDG-a_19_n500_m50.txt</t>
  </si>
  <si>
    <t>MDG-a_20_n500_m50.txt</t>
  </si>
  <si>
    <t>MDG-a_39_n2000_m200.txt</t>
  </si>
  <si>
    <t>MDG-a_40_n2000_m200.txt</t>
  </si>
  <si>
    <t>MDG-b_1_n500_m50.txt</t>
  </si>
  <si>
    <t>MDG-b_2_n500_m50.txt</t>
  </si>
  <si>
    <t>MDG-b_19_n500_m50.txt</t>
  </si>
  <si>
    <t>MDG-b_20_n500_m50.txt</t>
  </si>
  <si>
    <t>MDG-b_39_n2000_m200.txt</t>
  </si>
  <si>
    <t>MDG-b_40_n2000_m200.txt</t>
  </si>
  <si>
    <t>MDG-c_2_n3000_m300.txt</t>
  </si>
  <si>
    <t>MDG-c_5_n3000_m300.txt</t>
  </si>
  <si>
    <t>MDG-c_10_n3000_m400.txt</t>
  </si>
  <si>
    <t>MDG-c_15_n3000_m500.txt</t>
  </si>
  <si>
    <t>MDG-c_20_n3000_m600.txt</t>
  </si>
  <si>
    <t xml:space="preserve">BestValue </t>
  </si>
  <si>
    <t xml:space="preserve">Media </t>
  </si>
  <si>
    <t>Diversidad</t>
  </si>
  <si>
    <t xml:space="preserve">Porcentaje de </t>
  </si>
  <si>
    <t>Error</t>
  </si>
  <si>
    <t>-</t>
  </si>
  <si>
    <t>PM = [0.001, 0.01, 0.05, 0.1, 0.2]</t>
  </si>
  <si>
    <t>Prueba</t>
  </si>
  <si>
    <t>PM</t>
  </si>
  <si>
    <t>Mejor</t>
  </si>
  <si>
    <t>Resultado</t>
  </si>
  <si>
    <t>PC = [0.6, 0.75, 0.9, 1]</t>
  </si>
  <si>
    <t>( 0.001, 0.600 )</t>
  </si>
  <si>
    <t>( 0.001, 0.750 ) </t>
  </si>
  <si>
    <t>( 0.001, 0.900 ) </t>
  </si>
  <si>
    <t>( 0.001, 1.000 )</t>
  </si>
  <si>
    <t>1 - 1</t>
  </si>
  <si>
    <t>1 - 3</t>
  </si>
  <si>
    <t>1 - 4</t>
  </si>
  <si>
    <t>1 - 2</t>
  </si>
  <si>
    <t>2 - 1</t>
  </si>
  <si>
    <t>2 - 2</t>
  </si>
  <si>
    <t>2 - 3</t>
  </si>
  <si>
    <t>2 - 4</t>
  </si>
  <si>
    <t>3 - 1</t>
  </si>
  <si>
    <t>3 - 2</t>
  </si>
  <si>
    <t>3 - 3</t>
  </si>
  <si>
    <t>3 - 4</t>
  </si>
  <si>
    <t>4 - 1</t>
  </si>
  <si>
    <t>4 - 2</t>
  </si>
  <si>
    <t>4 - 3</t>
  </si>
  <si>
    <t>4 - 4</t>
  </si>
  <si>
    <t>5 - 1</t>
  </si>
  <si>
    <t>5 - 2</t>
  </si>
  <si>
    <t>5 - 3</t>
  </si>
  <si>
    <t>5 - 4</t>
  </si>
  <si>
    <t>( 0.01, 1.000 )</t>
  </si>
  <si>
    <t>( 0.01, 0.600 )</t>
  </si>
  <si>
    <t>( 0.01, 0.750 ) </t>
  </si>
  <si>
    <t>( 0.01, 0.900 ) </t>
  </si>
  <si>
    <t>( 0.05, 0.600 )</t>
  </si>
  <si>
    <t>( 0.05, 0.750 ) </t>
  </si>
  <si>
    <t>( 0.05, 0.900 ) </t>
  </si>
  <si>
    <t>( 0.05, 1.000 )</t>
  </si>
  <si>
    <t>( 0.1, 0.600 )</t>
  </si>
  <si>
    <t>( 0.1, 0.750 ) </t>
  </si>
  <si>
    <t>( 0.1, 0.900 ) </t>
  </si>
  <si>
    <t>( 0.1, 1.000 )</t>
  </si>
  <si>
    <t>( 0.2, 0.600 )</t>
  </si>
  <si>
    <t>( 0.2, 0.750 ) </t>
  </si>
  <si>
    <t>( 0.2, 0.900 ) </t>
  </si>
  <si>
    <t>( 0.2, 1.000 )</t>
  </si>
  <si>
    <t>PC</t>
  </si>
  <si>
    <t>Ranking</t>
  </si>
  <si>
    <t xml:space="preserve">PC = [0.6, 0.75, 0.9, 1]                            </t>
  </si>
  <si>
    <t>G = [500,1000,1500,1700]</t>
  </si>
  <si>
    <t>Nombre del Archivo</t>
  </si>
  <si>
    <t xml:space="preserve">AG Media </t>
  </si>
  <si>
    <t>Mejor AG</t>
  </si>
  <si>
    <t>AGG MEDIA</t>
  </si>
  <si>
    <t>Mejor AGG</t>
  </si>
  <si>
    <t xml:space="preserve">30 SEG / AG </t>
  </si>
  <si>
    <t xml:space="preserve">MEJOR </t>
  </si>
  <si>
    <t>ERROR</t>
  </si>
  <si>
    <t xml:space="preserve">MEDIA </t>
  </si>
  <si>
    <t>30 SEG/AG</t>
  </si>
  <si>
    <t xml:space="preserve">60 SEG / AG </t>
  </si>
  <si>
    <t>60 SEG/AG</t>
  </si>
  <si>
    <t>MEJOR 30 S</t>
  </si>
  <si>
    <t>MEDIA 30S</t>
  </si>
  <si>
    <t xml:space="preserve">MEJOR 60 SEG </t>
  </si>
  <si>
    <t>MEDIA 60 S</t>
  </si>
  <si>
    <t xml:space="preserve">AG </t>
  </si>
  <si>
    <t>Tamaños de población = [50,100,150,200]</t>
  </si>
  <si>
    <t>Insancia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</si>
</sst>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0000%"/>
    <numFmt numFmtId="166" formatCode="0.000000%"/>
    <numFmt numFmtId="167" formatCode="0.0000"/>
    <numFmt numFmtId="168" formatCode="0.0000000000"/>
    <numFmt numFmtId="169" formatCode="0.000000000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1F1F1F"/>
      <name val="Arial"/>
      <family val="2"/>
    </font>
    <font>
      <sz val="10"/>
      <name val="Arial"/>
      <family val="2"/>
    </font>
    <font>
      <sz val="10"/>
      <color theme="3" tint="0.79998168889431442"/>
      <name val="Arial"/>
      <family val="2"/>
    </font>
    <font>
      <sz val="12"/>
      <color rgb="FF222222"/>
      <name val="Arial"/>
      <family val="2"/>
    </font>
    <font>
      <sz val="10"/>
      <color theme="0"/>
      <name val="Arial"/>
      <family val="2"/>
    </font>
    <font>
      <sz val="10"/>
      <color rgb="FF222222"/>
      <name val="Arial"/>
      <family val="2"/>
    </font>
    <font>
      <sz val="10"/>
      <color rgb="FF0F1115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2" fillId="0" borderId="0" xfId="0" applyFont="1"/>
    <xf numFmtId="165" fontId="3" fillId="2" borderId="3" xfId="1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  <xf numFmtId="0" fontId="7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/>
    <xf numFmtId="164" fontId="3" fillId="2" borderId="1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164" fontId="8" fillId="3" borderId="1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165" fontId="4" fillId="0" borderId="15" xfId="1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5" fontId="4" fillId="0" borderId="20" xfId="1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6" fillId="3" borderId="17" xfId="1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65" fontId="4" fillId="0" borderId="24" xfId="1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/>
    </xf>
    <xf numFmtId="49" fontId="8" fillId="3" borderId="9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12" fillId="0" borderId="0" xfId="0" applyFont="1"/>
    <xf numFmtId="0" fontId="11" fillId="0" borderId="0" xfId="0" applyFont="1"/>
    <xf numFmtId="0" fontId="11" fillId="0" borderId="0" xfId="0" applyFont="1" applyBorder="1"/>
    <xf numFmtId="0" fontId="12" fillId="0" borderId="0" xfId="0" applyFont="1" applyBorder="1"/>
    <xf numFmtId="0" fontId="9" fillId="0" borderId="0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164" fontId="3" fillId="2" borderId="26" xfId="0" applyNumberFormat="1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165" fontId="3" fillId="2" borderId="27" xfId="1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7" fillId="0" borderId="22" xfId="0" applyFont="1" applyBorder="1"/>
    <xf numFmtId="49" fontId="4" fillId="0" borderId="23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11" fillId="0" borderId="6" xfId="0" applyFont="1" applyBorder="1"/>
    <xf numFmtId="0" fontId="11" fillId="0" borderId="7" xfId="0" applyFont="1" applyBorder="1"/>
    <xf numFmtId="0" fontId="12" fillId="0" borderId="7" xfId="0" applyFont="1" applyBorder="1"/>
    <xf numFmtId="0" fontId="11" fillId="0" borderId="18" xfId="0" applyFont="1" applyBorder="1"/>
    <xf numFmtId="2" fontId="11" fillId="0" borderId="0" xfId="0" applyNumberFormat="1" applyFont="1" applyBorder="1"/>
    <xf numFmtId="2" fontId="12" fillId="0" borderId="0" xfId="0" applyNumberFormat="1" applyFont="1" applyBorder="1"/>
    <xf numFmtId="2" fontId="8" fillId="3" borderId="9" xfId="0" applyNumberFormat="1" applyFont="1" applyFill="1" applyBorder="1" applyAlignment="1">
      <alignment horizontal="center" vertical="center"/>
    </xf>
    <xf numFmtId="2" fontId="9" fillId="0" borderId="7" xfId="0" applyNumberFormat="1" applyFont="1" applyFill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0" fontId="11" fillId="0" borderId="26" xfId="0" applyFont="1" applyBorder="1"/>
    <xf numFmtId="169" fontId="0" fillId="0" borderId="0" xfId="0" applyNumberFormat="1"/>
    <xf numFmtId="168" fontId="11" fillId="0" borderId="0" xfId="0" applyNumberFormat="1" applyFont="1"/>
    <xf numFmtId="2" fontId="7" fillId="0" borderId="0" xfId="0" applyNumberFormat="1" applyFont="1"/>
    <xf numFmtId="0" fontId="0" fillId="0" borderId="0" xfId="0" applyFill="1"/>
    <xf numFmtId="0" fontId="7" fillId="0" borderId="2" xfId="0" applyFont="1" applyBorder="1"/>
    <xf numFmtId="164" fontId="0" fillId="0" borderId="0" xfId="1" applyNumberFormat="1" applyFont="1"/>
    <xf numFmtId="0" fontId="12" fillId="0" borderId="0" xfId="0" applyFont="1" applyFill="1"/>
    <xf numFmtId="0" fontId="11" fillId="0" borderId="0" xfId="0" applyFont="1" applyFill="1"/>
    <xf numFmtId="0" fontId="7" fillId="0" borderId="0" xfId="0" applyFont="1" applyFill="1"/>
    <xf numFmtId="0" fontId="7" fillId="0" borderId="23" xfId="0" applyFont="1" applyBorder="1"/>
    <xf numFmtId="0" fontId="0" fillId="0" borderId="23" xfId="0" applyBorder="1"/>
    <xf numFmtId="0" fontId="11" fillId="0" borderId="1" xfId="0" applyFont="1" applyBorder="1"/>
    <xf numFmtId="0" fontId="11" fillId="0" borderId="25" xfId="0" applyFont="1" applyBorder="1"/>
    <xf numFmtId="0" fontId="7" fillId="0" borderId="8" xfId="0" applyFont="1" applyBorder="1"/>
    <xf numFmtId="164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164" fontId="0" fillId="0" borderId="22" xfId="1" applyNumberFormat="1" applyFont="1" applyBorder="1"/>
    <xf numFmtId="0" fontId="0" fillId="0" borderId="22" xfId="0" applyBorder="1"/>
    <xf numFmtId="0" fontId="0" fillId="0" borderId="27" xfId="0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165" fontId="4" fillId="0" borderId="13" xfId="1" applyNumberFormat="1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3" fontId="12" fillId="3" borderId="34" xfId="0" applyNumberFormat="1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6" fontId="11" fillId="0" borderId="0" xfId="1" applyNumberFormat="1" applyFont="1" applyBorder="1" applyAlignment="1">
      <alignment horizontal="center" vertical="center"/>
    </xf>
    <xf numFmtId="166" fontId="11" fillId="0" borderId="5" xfId="1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7" xfId="0" quotePrefix="1" applyFont="1" applyBorder="1" applyAlignment="1">
      <alignment horizontal="center" vertical="center"/>
    </xf>
    <xf numFmtId="0" fontId="7" fillId="0" borderId="7" xfId="0" quotePrefix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66" fontId="11" fillId="0" borderId="22" xfId="1" applyNumberFormat="1" applyFont="1" applyBorder="1" applyAlignment="1">
      <alignment horizontal="center" vertical="center"/>
    </xf>
    <xf numFmtId="166" fontId="11" fillId="0" borderId="27" xfId="1" applyNumberFormat="1" applyFont="1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168" fontId="11" fillId="0" borderId="5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9" fontId="0" fillId="0" borderId="22" xfId="0" applyNumberForma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168" fontId="11" fillId="0" borderId="27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7" fillId="0" borderId="7" xfId="0" applyFont="1" applyFill="1" applyBorder="1"/>
    <xf numFmtId="0" fontId="11" fillId="0" borderId="25" xfId="0" applyFont="1" applyFill="1" applyBorder="1"/>
    <xf numFmtId="0" fontId="11" fillId="0" borderId="4" xfId="0" applyFont="1" applyFill="1" applyBorder="1"/>
    <xf numFmtId="164" fontId="0" fillId="0" borderId="0" xfId="1" applyNumberFormat="1" applyFont="1" applyFill="1" applyBorder="1"/>
    <xf numFmtId="0" fontId="0" fillId="0" borderId="0" xfId="0" applyFill="1" applyBorder="1"/>
    <xf numFmtId="0" fontId="0" fillId="0" borderId="5" xfId="0" applyFill="1" applyBorder="1"/>
    <xf numFmtId="0" fontId="11" fillId="0" borderId="1" xfId="0" applyFont="1" applyFill="1" applyBorder="1"/>
    <xf numFmtId="0" fontId="0" fillId="0" borderId="7" xfId="0" applyFill="1" applyBorder="1"/>
    <xf numFmtId="0" fontId="11" fillId="0" borderId="11" xfId="0" applyFont="1" applyFill="1" applyBorder="1"/>
    <xf numFmtId="0" fontId="11" fillId="0" borderId="12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63DD4-5D87-C34C-982F-AF62C3C2768C}">
  <dimension ref="B1:K66"/>
  <sheetViews>
    <sheetView showGridLines="0" zoomScale="118" workbookViewId="0">
      <selection activeCell="J26" sqref="J26"/>
    </sheetView>
  </sheetViews>
  <sheetFormatPr baseColWidth="10" defaultRowHeight="13" x14ac:dyDescent="0.2"/>
  <cols>
    <col min="1" max="1" width="10.83203125" style="24"/>
    <col min="2" max="2" width="11.5" style="24" bestFit="1" customWidth="1"/>
    <col min="3" max="3" width="22.33203125" style="24" bestFit="1" customWidth="1"/>
    <col min="4" max="4" width="6.83203125" style="24" bestFit="1" customWidth="1"/>
    <col min="5" max="5" width="7" style="24" bestFit="1" customWidth="1"/>
    <col min="6" max="6" width="12.1640625" style="24" bestFit="1" customWidth="1"/>
    <col min="7" max="7" width="10.6640625" style="24" bestFit="1" customWidth="1"/>
    <col min="8" max="8" width="13.1640625" style="24" bestFit="1" customWidth="1"/>
    <col min="9" max="16384" width="10.83203125" style="24"/>
  </cols>
  <sheetData>
    <row r="1" spans="2:11" x14ac:dyDescent="0.2">
      <c r="B1" s="142" t="s">
        <v>39</v>
      </c>
      <c r="C1" s="142"/>
      <c r="D1" s="142"/>
      <c r="E1" s="142"/>
      <c r="F1" s="142"/>
      <c r="G1" s="142"/>
      <c r="H1" s="142"/>
    </row>
    <row r="3" spans="2:11" ht="14" thickBot="1" x14ac:dyDescent="0.25"/>
    <row r="4" spans="2:11" x14ac:dyDescent="0.2">
      <c r="B4" s="136" t="s">
        <v>33</v>
      </c>
      <c r="C4" s="138" t="s">
        <v>0</v>
      </c>
      <c r="D4" s="140" t="s">
        <v>1</v>
      </c>
      <c r="E4" s="5" t="s">
        <v>41</v>
      </c>
      <c r="F4" s="9" t="s">
        <v>34</v>
      </c>
      <c r="G4" s="5" t="s">
        <v>42</v>
      </c>
      <c r="H4" s="2" t="s">
        <v>36</v>
      </c>
    </row>
    <row r="5" spans="2:11" ht="14" thickBot="1" x14ac:dyDescent="0.25">
      <c r="B5" s="137"/>
      <c r="C5" s="139"/>
      <c r="D5" s="141"/>
      <c r="E5" s="6" t="s">
        <v>40</v>
      </c>
      <c r="F5" s="10" t="s">
        <v>35</v>
      </c>
      <c r="G5" s="6" t="s">
        <v>43</v>
      </c>
      <c r="H5" s="3" t="s">
        <v>37</v>
      </c>
    </row>
    <row r="6" spans="2:11" x14ac:dyDescent="0.2">
      <c r="B6" s="35">
        <v>19485.1875</v>
      </c>
      <c r="C6" s="11" t="s">
        <v>6</v>
      </c>
      <c r="D6" s="29">
        <v>1E-3</v>
      </c>
      <c r="E6" s="11">
        <v>1</v>
      </c>
      <c r="F6" s="31">
        <v>17875.083598000001</v>
      </c>
      <c r="G6" s="13">
        <f>IF(MAX(F$6:F$10)=F6,1,0)</f>
        <v>0</v>
      </c>
      <c r="H6" s="36">
        <f>(B6-F6) / B6</f>
        <v>8.26321995618466E-2</v>
      </c>
      <c r="J6" s="25"/>
    </row>
    <row r="7" spans="2:11" x14ac:dyDescent="0.2">
      <c r="B7" s="37">
        <v>19485.1875</v>
      </c>
      <c r="C7" s="13" t="s">
        <v>6</v>
      </c>
      <c r="D7" s="30">
        <v>0.01</v>
      </c>
      <c r="E7" s="13">
        <v>2</v>
      </c>
      <c r="F7" s="32">
        <v>18846.719850000001</v>
      </c>
      <c r="G7" s="13">
        <f>IF(MAX(F$6:F$10)=F7,1,0)</f>
        <v>0</v>
      </c>
      <c r="H7" s="20">
        <f>(B7-F7) / B7</f>
        <v>3.2766820950529664E-2</v>
      </c>
      <c r="J7" s="25"/>
    </row>
    <row r="8" spans="2:11" x14ac:dyDescent="0.2">
      <c r="B8" s="37">
        <v>19485.1875</v>
      </c>
      <c r="C8" s="13" t="s">
        <v>6</v>
      </c>
      <c r="D8" s="30">
        <v>0.05</v>
      </c>
      <c r="E8" s="13">
        <v>3</v>
      </c>
      <c r="F8" s="32">
        <v>19377.430678000001</v>
      </c>
      <c r="G8" s="13">
        <f>IF(MAX(F$6:F$10)=F8,1,0)</f>
        <v>0</v>
      </c>
      <c r="H8" s="20">
        <f t="shared" ref="H8:H16" si="0">(B8-F8) / B8</f>
        <v>5.5301916904828023E-3</v>
      </c>
      <c r="J8" s="25"/>
    </row>
    <row r="9" spans="2:11" x14ac:dyDescent="0.2">
      <c r="B9" s="37">
        <v>19485.1875</v>
      </c>
      <c r="C9" s="13" t="s">
        <v>6</v>
      </c>
      <c r="D9" s="30">
        <v>0.1</v>
      </c>
      <c r="E9" s="13">
        <v>4</v>
      </c>
      <c r="F9" s="32">
        <v>19428.140538</v>
      </c>
      <c r="G9" s="13">
        <f>IF(MAX(F$6:F$10)=F9,1,0)</f>
        <v>0</v>
      </c>
      <c r="H9" s="20">
        <f t="shared" si="0"/>
        <v>2.9277091636916684E-3</v>
      </c>
      <c r="J9" s="25"/>
    </row>
    <row r="10" spans="2:11" x14ac:dyDescent="0.2">
      <c r="B10" s="37">
        <v>19485.1875</v>
      </c>
      <c r="C10" s="13" t="s">
        <v>6</v>
      </c>
      <c r="D10" s="30">
        <v>0.2</v>
      </c>
      <c r="E10" s="13">
        <v>5</v>
      </c>
      <c r="F10" s="32">
        <v>19457.055938000001</v>
      </c>
      <c r="G10" s="13">
        <f>IF(MAX(F$6:F$10)=F10,1,0)</f>
        <v>1</v>
      </c>
      <c r="H10" s="20">
        <f t="shared" si="0"/>
        <v>1.4437408929217986E-3</v>
      </c>
      <c r="J10" s="25"/>
      <c r="K10" s="26"/>
    </row>
    <row r="11" spans="2:11" x14ac:dyDescent="0.2">
      <c r="B11" s="14"/>
      <c r="C11" s="15" t="s">
        <v>2</v>
      </c>
      <c r="D11" s="16" t="s">
        <v>2</v>
      </c>
      <c r="E11" s="15" t="s">
        <v>2</v>
      </c>
      <c r="F11" s="33" t="s">
        <v>2</v>
      </c>
      <c r="G11" s="15" t="s">
        <v>38</v>
      </c>
      <c r="H11" s="38" t="e">
        <f>(B11-F11) / B11</f>
        <v>#VALUE!</v>
      </c>
    </row>
    <row r="12" spans="2:11" x14ac:dyDescent="0.2">
      <c r="B12" s="37">
        <v>19701.537110000001</v>
      </c>
      <c r="C12" s="18" t="s">
        <v>7</v>
      </c>
      <c r="D12" s="21">
        <v>1E-3</v>
      </c>
      <c r="E12" s="13">
        <v>1</v>
      </c>
      <c r="F12" s="32">
        <v>18141.129990000001</v>
      </c>
      <c r="G12" s="18">
        <f>IF(MAX(F$12:F$16)=F12,1,0)</f>
        <v>0</v>
      </c>
      <c r="H12" s="20">
        <f t="shared" si="0"/>
        <v>7.9202303418649339E-2</v>
      </c>
    </row>
    <row r="13" spans="2:11" x14ac:dyDescent="0.2">
      <c r="B13" s="37">
        <v>19701.537110000001</v>
      </c>
      <c r="C13" s="18" t="s">
        <v>7</v>
      </c>
      <c r="D13" s="30">
        <v>0.01</v>
      </c>
      <c r="E13" s="13">
        <v>2</v>
      </c>
      <c r="F13" s="32">
        <v>19067.794881999998</v>
      </c>
      <c r="G13" s="18">
        <f>IF(MAX(F$12:F$16)=F13,1,0)</f>
        <v>0</v>
      </c>
      <c r="H13" s="20">
        <f t="shared" si="0"/>
        <v>3.2167146373484293E-2</v>
      </c>
    </row>
    <row r="14" spans="2:11" x14ac:dyDescent="0.2">
      <c r="B14" s="37">
        <v>19701.537110000001</v>
      </c>
      <c r="C14" s="18" t="s">
        <v>7</v>
      </c>
      <c r="D14" s="30">
        <v>0.05</v>
      </c>
      <c r="E14" s="13">
        <v>3</v>
      </c>
      <c r="F14" s="32">
        <v>19558.859317999999</v>
      </c>
      <c r="G14" s="18">
        <f>IF(MAX(F$12:F$16)=F14,1,0)</f>
        <v>0</v>
      </c>
      <c r="H14" s="20">
        <f t="shared" si="0"/>
        <v>7.2419624521369245E-3</v>
      </c>
    </row>
    <row r="15" spans="2:11" x14ac:dyDescent="0.2">
      <c r="B15" s="37">
        <v>19701.537110000001</v>
      </c>
      <c r="C15" s="18" t="s">
        <v>7</v>
      </c>
      <c r="D15" s="30">
        <v>0.1</v>
      </c>
      <c r="E15" s="13">
        <v>4</v>
      </c>
      <c r="F15" s="32">
        <v>19625.771840000001</v>
      </c>
      <c r="G15" s="18">
        <f>IF(MAX(F$12:F$16)=F15,1,0)</f>
        <v>0</v>
      </c>
      <c r="H15" s="20">
        <f t="shared" si="0"/>
        <v>3.8456527314076087E-3</v>
      </c>
    </row>
    <row r="16" spans="2:11" x14ac:dyDescent="0.2">
      <c r="B16" s="37">
        <v>19701.537110000001</v>
      </c>
      <c r="C16" s="18" t="s">
        <v>7</v>
      </c>
      <c r="D16" s="30">
        <v>0.2</v>
      </c>
      <c r="E16" s="13">
        <v>5</v>
      </c>
      <c r="F16" s="32">
        <v>19685.163820000002</v>
      </c>
      <c r="G16" s="18">
        <f>IF(MAX(F$12:F$16)=F16,1,0)</f>
        <v>1</v>
      </c>
      <c r="H16" s="20">
        <f t="shared" si="0"/>
        <v>8.3106662736933735E-4</v>
      </c>
    </row>
    <row r="17" spans="2:8" x14ac:dyDescent="0.2">
      <c r="B17" s="14"/>
      <c r="C17" s="16" t="s">
        <v>2</v>
      </c>
      <c r="D17" s="16" t="s">
        <v>2</v>
      </c>
      <c r="E17" s="16" t="s">
        <v>2</v>
      </c>
      <c r="F17" s="33" t="s">
        <v>2</v>
      </c>
      <c r="G17" s="16" t="s">
        <v>38</v>
      </c>
      <c r="H17" s="38" t="e">
        <f>(B17-F17) / B17</f>
        <v>#VALUE!</v>
      </c>
    </row>
    <row r="18" spans="2:8" x14ac:dyDescent="0.2">
      <c r="B18" s="37">
        <v>333</v>
      </c>
      <c r="C18" s="13" t="s">
        <v>10</v>
      </c>
      <c r="D18" s="21">
        <v>1E-3</v>
      </c>
      <c r="E18" s="13">
        <v>1</v>
      </c>
      <c r="F18" s="32">
        <v>286.2</v>
      </c>
      <c r="G18" s="13">
        <f>IF(MAX(F$18:F$22)=F18,1,0)</f>
        <v>0</v>
      </c>
      <c r="H18" s="20">
        <f t="shared" ref="H18:H40" si="1">(B18-F18) / B18</f>
        <v>0.14054054054054058</v>
      </c>
    </row>
    <row r="19" spans="2:8" x14ac:dyDescent="0.2">
      <c r="B19" s="37">
        <v>333</v>
      </c>
      <c r="C19" s="13" t="s">
        <v>10</v>
      </c>
      <c r="D19" s="30">
        <v>0.01</v>
      </c>
      <c r="E19" s="13">
        <v>2</v>
      </c>
      <c r="F19" s="32">
        <v>315.39999999999998</v>
      </c>
      <c r="G19" s="13">
        <f>IF(MAX(F$18:F$22)=F19,1,0)</f>
        <v>0</v>
      </c>
      <c r="H19" s="20">
        <f t="shared" si="1"/>
        <v>5.2852852852852919E-2</v>
      </c>
    </row>
    <row r="20" spans="2:8" x14ac:dyDescent="0.2">
      <c r="B20" s="37">
        <v>333</v>
      </c>
      <c r="C20" s="13" t="s">
        <v>10</v>
      </c>
      <c r="D20" s="30">
        <v>0.05</v>
      </c>
      <c r="E20" s="13">
        <v>3</v>
      </c>
      <c r="F20" s="32">
        <v>313.2</v>
      </c>
      <c r="G20" s="13">
        <f>IF(MAX(F$18:F$22)=F20,1,0)</f>
        <v>0</v>
      </c>
      <c r="H20" s="20">
        <f t="shared" si="1"/>
        <v>5.9459459459459491E-2</v>
      </c>
    </row>
    <row r="21" spans="2:8" x14ac:dyDescent="0.2">
      <c r="B21" s="37">
        <v>333</v>
      </c>
      <c r="C21" s="13" t="s">
        <v>10</v>
      </c>
      <c r="D21" s="30">
        <v>0.1</v>
      </c>
      <c r="E21" s="13">
        <v>4</v>
      </c>
      <c r="F21" s="32">
        <v>317.8</v>
      </c>
      <c r="G21" s="13">
        <f>IF(MAX(F$18:F$22)=F21,1,0)</f>
        <v>0</v>
      </c>
      <c r="H21" s="20">
        <f t="shared" si="1"/>
        <v>4.5645645645645612E-2</v>
      </c>
    </row>
    <row r="22" spans="2:8" x14ac:dyDescent="0.2">
      <c r="B22" s="37">
        <v>333</v>
      </c>
      <c r="C22" s="13" t="s">
        <v>10</v>
      </c>
      <c r="D22" s="30">
        <v>0.2</v>
      </c>
      <c r="E22" s="13">
        <v>5</v>
      </c>
      <c r="F22" s="32">
        <v>319</v>
      </c>
      <c r="G22" s="13">
        <f>IF(MAX(F$18:F$22)=F22,1,0)</f>
        <v>1</v>
      </c>
      <c r="H22" s="20">
        <f t="shared" si="1"/>
        <v>4.2042042042042045E-2</v>
      </c>
    </row>
    <row r="23" spans="2:8" x14ac:dyDescent="0.2">
      <c r="B23" s="14"/>
      <c r="C23" s="16" t="s">
        <v>2</v>
      </c>
      <c r="D23" s="16" t="s">
        <v>2</v>
      </c>
      <c r="E23" s="16" t="s">
        <v>2</v>
      </c>
      <c r="F23" s="33" t="s">
        <v>2</v>
      </c>
      <c r="G23" s="16" t="s">
        <v>38</v>
      </c>
      <c r="H23" s="38" t="e">
        <f>(B23-F23) / B23</f>
        <v>#VALUE!</v>
      </c>
    </row>
    <row r="24" spans="2:8" x14ac:dyDescent="0.2">
      <c r="B24" s="37">
        <v>1195</v>
      </c>
      <c r="C24" s="22" t="s">
        <v>11</v>
      </c>
      <c r="D24" s="21">
        <v>1E-3</v>
      </c>
      <c r="E24" s="13">
        <v>1</v>
      </c>
      <c r="F24" s="32">
        <v>1091.8</v>
      </c>
      <c r="G24" s="13">
        <f>IF(MAX(F$24:F$28)=F24,1,0)</f>
        <v>0</v>
      </c>
      <c r="H24" s="20">
        <f t="shared" si="1"/>
        <v>8.6359832635983305E-2</v>
      </c>
    </row>
    <row r="25" spans="2:8" x14ac:dyDescent="0.2">
      <c r="B25" s="37">
        <v>1195</v>
      </c>
      <c r="C25" s="22" t="s">
        <v>11</v>
      </c>
      <c r="D25" s="30">
        <v>0.01</v>
      </c>
      <c r="E25" s="13">
        <v>2</v>
      </c>
      <c r="F25" s="32">
        <v>1128.5999999999999</v>
      </c>
      <c r="G25" s="13">
        <f>IF(MAX(F$24:F$28)=F25,1,0)</f>
        <v>0</v>
      </c>
      <c r="H25" s="20">
        <f t="shared" si="1"/>
        <v>5.5564853556485432E-2</v>
      </c>
    </row>
    <row r="26" spans="2:8" x14ac:dyDescent="0.2">
      <c r="B26" s="37">
        <v>1195</v>
      </c>
      <c r="C26" s="22" t="s">
        <v>11</v>
      </c>
      <c r="D26" s="30">
        <v>0.05</v>
      </c>
      <c r="E26" s="13">
        <v>3</v>
      </c>
      <c r="F26" s="32">
        <v>1167.2</v>
      </c>
      <c r="G26" s="13">
        <f>IF(MAX(F$24:F$28)=F26,1,0)</f>
        <v>0</v>
      </c>
      <c r="H26" s="20">
        <f t="shared" si="1"/>
        <v>2.3263598326359793E-2</v>
      </c>
    </row>
    <row r="27" spans="2:8" x14ac:dyDescent="0.2">
      <c r="B27" s="37">
        <v>1195</v>
      </c>
      <c r="C27" s="22" t="s">
        <v>11</v>
      </c>
      <c r="D27" s="30">
        <v>0.1</v>
      </c>
      <c r="E27" s="13">
        <v>4</v>
      </c>
      <c r="F27" s="32">
        <v>1160.2</v>
      </c>
      <c r="G27" s="13">
        <f>IF(MAX(F$24:F$28)=F27,1,0)</f>
        <v>0</v>
      </c>
      <c r="H27" s="20">
        <f t="shared" si="1"/>
        <v>2.9121338912133855E-2</v>
      </c>
    </row>
    <row r="28" spans="2:8" x14ac:dyDescent="0.2">
      <c r="B28" s="37">
        <v>1195</v>
      </c>
      <c r="C28" s="22" t="s">
        <v>11</v>
      </c>
      <c r="D28" s="30">
        <v>0.2</v>
      </c>
      <c r="E28" s="13">
        <v>5</v>
      </c>
      <c r="F28" s="32">
        <v>1172</v>
      </c>
      <c r="G28" s="13">
        <f>IF(MAX(F$24:F$28)=F28,1,0)</f>
        <v>1</v>
      </c>
      <c r="H28" s="20">
        <f t="shared" si="1"/>
        <v>1.9246861924686193E-2</v>
      </c>
    </row>
    <row r="29" spans="2:8" x14ac:dyDescent="0.2">
      <c r="B29" s="14"/>
      <c r="C29" s="16" t="s">
        <v>2</v>
      </c>
      <c r="D29" s="16" t="s">
        <v>2</v>
      </c>
      <c r="E29" s="16" t="s">
        <v>2</v>
      </c>
      <c r="F29" s="33" t="s">
        <v>2</v>
      </c>
      <c r="G29" s="16" t="s">
        <v>38</v>
      </c>
      <c r="H29" s="38" t="e">
        <f>(B29-F29) / B29</f>
        <v>#VALUE!</v>
      </c>
    </row>
    <row r="30" spans="2:8" x14ac:dyDescent="0.2">
      <c r="B30" s="37">
        <v>7833.8325199999999</v>
      </c>
      <c r="C30" s="27" t="s">
        <v>16</v>
      </c>
      <c r="D30" s="21">
        <v>1E-3</v>
      </c>
      <c r="E30" s="13">
        <v>1</v>
      </c>
      <c r="F30" s="32">
        <v>6813.7640000000001</v>
      </c>
      <c r="G30" s="13">
        <f>IF(MAX(F$30:F$34)=F30,1,0)</f>
        <v>0</v>
      </c>
      <c r="H30" s="20">
        <f t="shared" si="1"/>
        <v>0.1302132152296766</v>
      </c>
    </row>
    <row r="31" spans="2:8" x14ac:dyDescent="0.2">
      <c r="B31" s="37">
        <v>7833.8325199999999</v>
      </c>
      <c r="C31" s="27" t="s">
        <v>16</v>
      </c>
      <c r="D31" s="30">
        <v>0.01</v>
      </c>
      <c r="E31" s="13">
        <v>2</v>
      </c>
      <c r="F31" s="32">
        <v>7182.82</v>
      </c>
      <c r="G31" s="13">
        <f>IF(MAX(F$30:F$34)=F31,1,0)</f>
        <v>0</v>
      </c>
      <c r="H31" s="20">
        <f t="shared" si="1"/>
        <v>8.3102685478397262E-2</v>
      </c>
    </row>
    <row r="32" spans="2:8" x14ac:dyDescent="0.2">
      <c r="B32" s="37">
        <v>7833.8325199999999</v>
      </c>
      <c r="C32" s="27" t="s">
        <v>16</v>
      </c>
      <c r="D32" s="30">
        <v>0.05</v>
      </c>
      <c r="E32" s="13">
        <v>3</v>
      </c>
      <c r="F32" s="32">
        <v>7463.62</v>
      </c>
      <c r="G32" s="13">
        <f>IF(MAX(F$30:F$34)=F32,1,0)</f>
        <v>0</v>
      </c>
      <c r="H32" s="20">
        <f t="shared" si="1"/>
        <v>4.7258161194388165E-2</v>
      </c>
    </row>
    <row r="33" spans="2:8" x14ac:dyDescent="0.2">
      <c r="B33" s="37">
        <v>7833.8325199999999</v>
      </c>
      <c r="C33" s="27" t="s">
        <v>16</v>
      </c>
      <c r="D33" s="30">
        <v>0.1</v>
      </c>
      <c r="E33" s="13">
        <v>4</v>
      </c>
      <c r="F33" s="32">
        <v>7514.5439999999999</v>
      </c>
      <c r="G33" s="13">
        <f>IF(MAX(F$30:F$34)=F33,1,0)</f>
        <v>0</v>
      </c>
      <c r="H33" s="20">
        <f t="shared" si="1"/>
        <v>4.0757639276158546E-2</v>
      </c>
    </row>
    <row r="34" spans="2:8" x14ac:dyDescent="0.2">
      <c r="B34" s="37">
        <v>7833.8325199999999</v>
      </c>
      <c r="C34" s="27" t="s">
        <v>16</v>
      </c>
      <c r="D34" s="30">
        <v>0.2</v>
      </c>
      <c r="E34" s="13">
        <v>5</v>
      </c>
      <c r="F34" s="32">
        <v>7564.692</v>
      </c>
      <c r="G34" s="13">
        <f>IF(MAX(F$30:F$34)=F34,1,0)</f>
        <v>1</v>
      </c>
      <c r="H34" s="20">
        <f t="shared" si="1"/>
        <v>3.4356174875181007E-2</v>
      </c>
    </row>
    <row r="35" spans="2:8" x14ac:dyDescent="0.2">
      <c r="B35" s="14"/>
      <c r="C35" s="16" t="s">
        <v>2</v>
      </c>
      <c r="D35" s="16" t="s">
        <v>2</v>
      </c>
      <c r="E35" s="16" t="s">
        <v>2</v>
      </c>
      <c r="F35" s="33" t="s">
        <v>2</v>
      </c>
      <c r="G35" s="16" t="s">
        <v>38</v>
      </c>
      <c r="H35" s="38" t="e">
        <f>(B35-F35) / B35</f>
        <v>#VALUE!</v>
      </c>
    </row>
    <row r="36" spans="2:8" x14ac:dyDescent="0.2">
      <c r="B36" s="37">
        <v>7771.6616199999999</v>
      </c>
      <c r="C36" s="22" t="s">
        <v>17</v>
      </c>
      <c r="D36" s="21">
        <v>1E-3</v>
      </c>
      <c r="E36" s="13">
        <v>1</v>
      </c>
      <c r="F36" s="32">
        <v>6841.8540000000003</v>
      </c>
      <c r="G36" s="13">
        <f>IF(MAX(F$36:F$40)=F36,1,0)</f>
        <v>0</v>
      </c>
      <c r="H36" s="20">
        <f>(B36-F36)/B36</f>
        <v>0.11964077509591824</v>
      </c>
    </row>
    <row r="37" spans="2:8" x14ac:dyDescent="0.2">
      <c r="B37" s="37">
        <v>7771.6616199999999</v>
      </c>
      <c r="C37" s="22" t="s">
        <v>17</v>
      </c>
      <c r="D37" s="30">
        <v>0.01</v>
      </c>
      <c r="E37" s="13">
        <v>2</v>
      </c>
      <c r="F37" s="32">
        <v>7154.31</v>
      </c>
      <c r="G37" s="13">
        <f>IF(MAX(F$36:F$40)=F37,1,0)</f>
        <v>0</v>
      </c>
      <c r="H37" s="20">
        <f t="shared" si="1"/>
        <v>7.9436245449914414E-2</v>
      </c>
    </row>
    <row r="38" spans="2:8" x14ac:dyDescent="0.2">
      <c r="B38" s="37">
        <v>7771.6616199999999</v>
      </c>
      <c r="C38" s="22" t="s">
        <v>17</v>
      </c>
      <c r="D38" s="30">
        <v>0.05</v>
      </c>
      <c r="E38" s="13">
        <v>3</v>
      </c>
      <c r="F38" s="32">
        <v>7410.1980000000003</v>
      </c>
      <c r="G38" s="13">
        <f>IF(MAX(F$36:F$40)=F38,1,0)</f>
        <v>0</v>
      </c>
      <c r="H38" s="20">
        <f t="shared" si="1"/>
        <v>4.6510468117884882E-2</v>
      </c>
    </row>
    <row r="39" spans="2:8" x14ac:dyDescent="0.2">
      <c r="B39" s="37">
        <v>7771.6616199999999</v>
      </c>
      <c r="C39" s="22" t="s">
        <v>17</v>
      </c>
      <c r="D39" s="30">
        <v>0.1</v>
      </c>
      <c r="E39" s="13">
        <v>4</v>
      </c>
      <c r="F39" s="32">
        <v>7456.2560000000003</v>
      </c>
      <c r="G39" s="13">
        <f>IF(MAX(F$36:F$40)=F39,1,0)</f>
        <v>0</v>
      </c>
      <c r="H39" s="20">
        <f t="shared" si="1"/>
        <v>4.0584064955725585E-2</v>
      </c>
    </row>
    <row r="40" spans="2:8" x14ac:dyDescent="0.2">
      <c r="B40" s="37">
        <v>7771.6616199999999</v>
      </c>
      <c r="C40" s="22" t="s">
        <v>17</v>
      </c>
      <c r="D40" s="30">
        <v>0.2</v>
      </c>
      <c r="E40" s="13">
        <v>5</v>
      </c>
      <c r="F40" s="32">
        <v>7532.4219999999996</v>
      </c>
      <c r="G40" s="13">
        <f>IF(MAX(F$36:F$40)=F40,1,0)</f>
        <v>1</v>
      </c>
      <c r="H40" s="20">
        <f t="shared" si="1"/>
        <v>3.0783586792344195E-2</v>
      </c>
    </row>
    <row r="41" spans="2:8" x14ac:dyDescent="0.2">
      <c r="B41" s="14"/>
      <c r="C41" s="16" t="s">
        <v>2</v>
      </c>
      <c r="D41" s="16" t="s">
        <v>2</v>
      </c>
      <c r="E41" s="16" t="s">
        <v>2</v>
      </c>
      <c r="F41" s="33" t="s">
        <v>2</v>
      </c>
      <c r="G41" s="16" t="s">
        <v>38</v>
      </c>
      <c r="H41" s="38" t="e">
        <f>(B41-F41) / B41</f>
        <v>#VALUE!</v>
      </c>
    </row>
    <row r="42" spans="2:8" x14ac:dyDescent="0.2">
      <c r="B42" s="37">
        <v>778030.625</v>
      </c>
      <c r="C42" s="22" t="s">
        <v>22</v>
      </c>
      <c r="D42" s="21">
        <v>1E-3</v>
      </c>
      <c r="E42" s="13">
        <v>1</v>
      </c>
      <c r="F42" s="32">
        <v>686039.00800000003</v>
      </c>
      <c r="G42" s="13">
        <f>IF(MAX(F$42:F$46)=F42,1,0)</f>
        <v>0</v>
      </c>
      <c r="H42" s="20">
        <f t="shared" ref="H42:H58" si="2">(B42-F42) / B42</f>
        <v>0.11823649872394158</v>
      </c>
    </row>
    <row r="43" spans="2:8" x14ac:dyDescent="0.2">
      <c r="B43" s="37">
        <v>778030.625</v>
      </c>
      <c r="C43" s="22" t="s">
        <v>22</v>
      </c>
      <c r="D43" s="30">
        <v>0.01</v>
      </c>
      <c r="E43" s="13">
        <v>2</v>
      </c>
      <c r="F43" s="32">
        <v>715686.23199999996</v>
      </c>
      <c r="G43" s="13">
        <f>IF(MAX(F$42:F$46)=F43,1,0)</f>
        <v>0</v>
      </c>
      <c r="H43" s="20">
        <f t="shared" si="2"/>
        <v>8.0131026975962596E-2</v>
      </c>
    </row>
    <row r="44" spans="2:8" x14ac:dyDescent="0.2">
      <c r="B44" s="37">
        <v>778030.625</v>
      </c>
      <c r="C44" s="22" t="s">
        <v>22</v>
      </c>
      <c r="D44" s="30">
        <v>0.05</v>
      </c>
      <c r="E44" s="13">
        <v>3</v>
      </c>
      <c r="F44" s="32">
        <v>740677.26599999995</v>
      </c>
      <c r="G44" s="13">
        <f>IF(MAX(F$42:F$46)=F44,1,0)</f>
        <v>0</v>
      </c>
      <c r="H44" s="20">
        <f t="shared" si="2"/>
        <v>4.8010139703691043E-2</v>
      </c>
    </row>
    <row r="45" spans="2:8" x14ac:dyDescent="0.2">
      <c r="B45" s="37">
        <v>778030.625</v>
      </c>
      <c r="C45" s="22" t="s">
        <v>22</v>
      </c>
      <c r="D45" s="30">
        <v>0.1</v>
      </c>
      <c r="E45" s="13">
        <v>4</v>
      </c>
      <c r="F45" s="32">
        <v>753595.68400000001</v>
      </c>
      <c r="G45" s="13">
        <f>IF(MAX(F$42:F$46)=F45,1,0)</f>
        <v>0</v>
      </c>
      <c r="H45" s="20">
        <f t="shared" si="2"/>
        <v>3.1406142913718842E-2</v>
      </c>
    </row>
    <row r="46" spans="2:8" x14ac:dyDescent="0.2">
      <c r="B46" s="37">
        <v>778030.625</v>
      </c>
      <c r="C46" s="22" t="s">
        <v>22</v>
      </c>
      <c r="D46" s="30">
        <v>0.2</v>
      </c>
      <c r="E46" s="13">
        <v>5</v>
      </c>
      <c r="F46" s="32">
        <v>756090.95600000001</v>
      </c>
      <c r="G46" s="13">
        <f>IF(MAX(F$42:F$46)=F46,1,0)</f>
        <v>1</v>
      </c>
      <c r="H46" s="20">
        <f t="shared" si="2"/>
        <v>2.8198978671308723E-2</v>
      </c>
    </row>
    <row r="47" spans="2:8" x14ac:dyDescent="0.2">
      <c r="B47" s="14"/>
      <c r="C47" s="16" t="s">
        <v>2</v>
      </c>
      <c r="D47" s="16" t="s">
        <v>2</v>
      </c>
      <c r="E47" s="16" t="s">
        <v>2</v>
      </c>
      <c r="F47" s="33" t="s">
        <v>2</v>
      </c>
      <c r="G47" s="16" t="s">
        <v>38</v>
      </c>
      <c r="H47" s="38" t="e">
        <f>(B47-F47) / B47</f>
        <v>#VALUE!</v>
      </c>
    </row>
    <row r="48" spans="2:8" x14ac:dyDescent="0.2">
      <c r="B48" s="37">
        <v>779963.6875</v>
      </c>
      <c r="C48" s="27" t="s">
        <v>23</v>
      </c>
      <c r="D48" s="21">
        <v>1E-3</v>
      </c>
      <c r="E48" s="27"/>
      <c r="F48" s="32">
        <v>677046.52800000005</v>
      </c>
      <c r="G48" s="27">
        <f>IF(MAX(F$48:F$52)=F48,1,0)</f>
        <v>0</v>
      </c>
      <c r="H48" s="20">
        <f t="shared" si="2"/>
        <v>0.13195121920339395</v>
      </c>
    </row>
    <row r="49" spans="2:8" x14ac:dyDescent="0.2">
      <c r="B49" s="37">
        <v>779963.6875</v>
      </c>
      <c r="C49" s="27" t="s">
        <v>23</v>
      </c>
      <c r="D49" s="30">
        <v>0.01</v>
      </c>
      <c r="E49" s="27"/>
      <c r="F49" s="32">
        <v>716247.65800000005</v>
      </c>
      <c r="G49" s="27">
        <f t="shared" ref="G49:G52" si="3">IF(MAX(F$48:F$52)=F49,1,0)</f>
        <v>0</v>
      </c>
      <c r="H49" s="20">
        <f t="shared" si="2"/>
        <v>8.1691020391253727E-2</v>
      </c>
    </row>
    <row r="50" spans="2:8" x14ac:dyDescent="0.2">
      <c r="B50" s="37">
        <v>779963.6875</v>
      </c>
      <c r="C50" s="27" t="s">
        <v>23</v>
      </c>
      <c r="D50" s="30">
        <v>0.05</v>
      </c>
      <c r="E50" s="27"/>
      <c r="F50" s="32">
        <v>744851.66200000001</v>
      </c>
      <c r="G50" s="27">
        <f t="shared" si="3"/>
        <v>0</v>
      </c>
      <c r="H50" s="20">
        <f t="shared" si="2"/>
        <v>4.5017513074927594E-2</v>
      </c>
    </row>
    <row r="51" spans="2:8" x14ac:dyDescent="0.2">
      <c r="B51" s="37">
        <v>779963.6875</v>
      </c>
      <c r="C51" s="27" t="s">
        <v>23</v>
      </c>
      <c r="D51" s="30">
        <v>0.1</v>
      </c>
      <c r="E51" s="27"/>
      <c r="F51" s="32">
        <v>749304.41399999999</v>
      </c>
      <c r="G51" s="27">
        <f t="shared" si="3"/>
        <v>0</v>
      </c>
      <c r="H51" s="20">
        <f t="shared" si="2"/>
        <v>3.9308590888726486E-2</v>
      </c>
    </row>
    <row r="52" spans="2:8" x14ac:dyDescent="0.2">
      <c r="B52" s="37">
        <v>779963.6875</v>
      </c>
      <c r="C52" s="27" t="s">
        <v>23</v>
      </c>
      <c r="D52" s="30">
        <v>0.2</v>
      </c>
      <c r="E52" s="27"/>
      <c r="F52" s="32">
        <v>756787.60199999996</v>
      </c>
      <c r="G52" s="27">
        <f t="shared" si="3"/>
        <v>1</v>
      </c>
      <c r="H52" s="20">
        <f t="shared" si="2"/>
        <v>2.9714313462830339E-2</v>
      </c>
    </row>
    <row r="53" spans="2:8" x14ac:dyDescent="0.2">
      <c r="B53" s="14"/>
      <c r="C53" s="16" t="s">
        <v>2</v>
      </c>
      <c r="D53" s="16" t="s">
        <v>2</v>
      </c>
      <c r="E53" s="16" t="s">
        <v>2</v>
      </c>
      <c r="F53" s="33" t="s">
        <v>2</v>
      </c>
      <c r="G53" s="16" t="s">
        <v>38</v>
      </c>
      <c r="H53" s="38" t="e">
        <f>(B53-F53) / B53</f>
        <v>#VALUE!</v>
      </c>
    </row>
    <row r="54" spans="2:8" x14ac:dyDescent="0.2">
      <c r="B54" s="37">
        <v>24884110</v>
      </c>
      <c r="C54" s="27" t="s">
        <v>4</v>
      </c>
      <c r="D54" s="21">
        <v>1E-3</v>
      </c>
      <c r="E54" s="13">
        <v>1</v>
      </c>
      <c r="F54" s="34">
        <v>22873807</v>
      </c>
      <c r="G54" s="27">
        <f>IF(MAX(F$54:F$58)=F54,1,0)</f>
        <v>0</v>
      </c>
      <c r="H54" s="20">
        <f t="shared" si="2"/>
        <v>8.0786614429851022E-2</v>
      </c>
    </row>
    <row r="55" spans="2:8" x14ac:dyDescent="0.2">
      <c r="B55" s="37">
        <v>24884110</v>
      </c>
      <c r="C55" s="27" t="s">
        <v>4</v>
      </c>
      <c r="D55" s="30">
        <v>0.01</v>
      </c>
      <c r="E55" s="13">
        <v>2</v>
      </c>
      <c r="F55" s="34">
        <v>23265465</v>
      </c>
      <c r="G55" s="27">
        <f t="shared" ref="G55:G58" si="4">IF(MAX(F$54:F$58)=F55,1,0)</f>
        <v>0</v>
      </c>
      <c r="H55" s="20">
        <f t="shared" si="2"/>
        <v>6.5047333418796177E-2</v>
      </c>
    </row>
    <row r="56" spans="2:8" x14ac:dyDescent="0.2">
      <c r="B56" s="37">
        <v>24884110</v>
      </c>
      <c r="C56" s="27" t="s">
        <v>4</v>
      </c>
      <c r="D56" s="30">
        <v>0.05</v>
      </c>
      <c r="E56" s="13">
        <v>3</v>
      </c>
      <c r="F56" s="34">
        <v>23639293</v>
      </c>
      <c r="G56" s="27">
        <f t="shared" si="4"/>
        <v>0</v>
      </c>
      <c r="H56" s="20">
        <f t="shared" si="2"/>
        <v>5.002457391483963E-2</v>
      </c>
    </row>
    <row r="57" spans="2:8" x14ac:dyDescent="0.2">
      <c r="B57" s="37">
        <v>24884110</v>
      </c>
      <c r="C57" s="27" t="s">
        <v>4</v>
      </c>
      <c r="D57" s="30">
        <v>0.1</v>
      </c>
      <c r="E57" s="13">
        <v>4</v>
      </c>
      <c r="F57" s="34">
        <v>23779526.600000001</v>
      </c>
      <c r="G57" s="27">
        <f t="shared" si="4"/>
        <v>0</v>
      </c>
      <c r="H57" s="20">
        <f t="shared" si="2"/>
        <v>4.4389106140424489E-2</v>
      </c>
    </row>
    <row r="58" spans="2:8" x14ac:dyDescent="0.2">
      <c r="B58" s="37">
        <v>24884110</v>
      </c>
      <c r="C58" s="27" t="s">
        <v>4</v>
      </c>
      <c r="D58" s="30">
        <v>0.2</v>
      </c>
      <c r="E58" s="13">
        <v>5</v>
      </c>
      <c r="F58" s="28">
        <v>23970622.800000001</v>
      </c>
      <c r="G58" s="27">
        <f t="shared" si="4"/>
        <v>1</v>
      </c>
      <c r="H58" s="20">
        <f t="shared" si="2"/>
        <v>3.6709659296635451E-2</v>
      </c>
    </row>
    <row r="59" spans="2:8" x14ac:dyDescent="0.2">
      <c r="B59" s="14"/>
      <c r="C59" s="16" t="s">
        <v>2</v>
      </c>
      <c r="D59" s="16" t="s">
        <v>2</v>
      </c>
      <c r="E59" s="16" t="s">
        <v>2</v>
      </c>
      <c r="F59" s="33" t="s">
        <v>2</v>
      </c>
      <c r="G59" s="16" t="s">
        <v>38</v>
      </c>
      <c r="H59" s="38" t="e">
        <f t="shared" ref="H59:H64" si="5">(B59-F59) / B59</f>
        <v>#VALUE!</v>
      </c>
    </row>
    <row r="60" spans="2:8" x14ac:dyDescent="0.2">
      <c r="B60" s="37">
        <v>24905330</v>
      </c>
      <c r="C60" s="27" t="s">
        <v>28</v>
      </c>
      <c r="D60" s="21">
        <v>1E-3</v>
      </c>
      <c r="E60" s="13">
        <v>1</v>
      </c>
      <c r="F60" s="28">
        <v>22836412.600000001</v>
      </c>
      <c r="G60" s="27">
        <f>IF(MAX(F$60:F$64)=F60,1,0)</f>
        <v>0</v>
      </c>
      <c r="H60" s="20">
        <f t="shared" si="5"/>
        <v>8.3071270286320179E-2</v>
      </c>
    </row>
    <row r="61" spans="2:8" x14ac:dyDescent="0.2">
      <c r="B61" s="37">
        <v>24905330</v>
      </c>
      <c r="C61" s="27" t="s">
        <v>28</v>
      </c>
      <c r="D61" s="30">
        <v>0.01</v>
      </c>
      <c r="E61" s="13">
        <v>2</v>
      </c>
      <c r="F61" s="28">
        <v>23225133.800000001</v>
      </c>
      <c r="G61" s="27">
        <f t="shared" ref="G61:G64" si="6">IF(MAX(F$60:F$64)=F61,1,0)</f>
        <v>0</v>
      </c>
      <c r="H61" s="20">
        <f t="shared" si="5"/>
        <v>6.7463318092954375E-2</v>
      </c>
    </row>
    <row r="62" spans="2:8" x14ac:dyDescent="0.2">
      <c r="B62" s="37">
        <v>24905330</v>
      </c>
      <c r="C62" s="27" t="s">
        <v>28</v>
      </c>
      <c r="D62" s="30">
        <v>0.05</v>
      </c>
      <c r="E62" s="13">
        <v>3</v>
      </c>
      <c r="F62" s="28">
        <v>23660509</v>
      </c>
      <c r="G62" s="27">
        <f t="shared" si="6"/>
        <v>0</v>
      </c>
      <c r="H62" s="20">
        <f t="shared" si="5"/>
        <v>4.9982112262716455E-2</v>
      </c>
    </row>
    <row r="63" spans="2:8" x14ac:dyDescent="0.2">
      <c r="B63" s="37">
        <v>24905330</v>
      </c>
      <c r="C63" s="27" t="s">
        <v>28</v>
      </c>
      <c r="D63" s="30">
        <v>0.1</v>
      </c>
      <c r="E63" s="13">
        <v>4</v>
      </c>
      <c r="F63" s="28">
        <v>23854637.800000001</v>
      </c>
      <c r="G63" s="27">
        <f t="shared" si="6"/>
        <v>0</v>
      </c>
      <c r="H63" s="20">
        <f t="shared" si="5"/>
        <v>4.218744341070764E-2</v>
      </c>
    </row>
    <row r="64" spans="2:8" ht="14" thickBot="1" x14ac:dyDescent="0.25">
      <c r="B64" s="39">
        <v>24905330</v>
      </c>
      <c r="C64" s="40" t="s">
        <v>28</v>
      </c>
      <c r="D64" s="41">
        <v>0.2</v>
      </c>
      <c r="E64" s="42">
        <v>5</v>
      </c>
      <c r="F64" s="43">
        <v>23949233.399999999</v>
      </c>
      <c r="G64" s="40">
        <f t="shared" si="6"/>
        <v>1</v>
      </c>
      <c r="H64" s="44">
        <f t="shared" si="5"/>
        <v>3.8389236360249053E-2</v>
      </c>
    </row>
    <row r="66" spans="7:10" x14ac:dyDescent="0.2">
      <c r="G66" s="27"/>
      <c r="H66" s="23"/>
      <c r="I66" s="22"/>
      <c r="J66" s="27"/>
    </row>
  </sheetData>
  <mergeCells count="4">
    <mergeCell ref="B4:B5"/>
    <mergeCell ref="C4:C5"/>
    <mergeCell ref="D4:D5"/>
    <mergeCell ref="B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951F-B5FA-7A47-8B20-A22336B5C976}">
  <dimension ref="B1:H54"/>
  <sheetViews>
    <sheetView showGridLines="0" zoomScale="115" zoomScaleNormal="110" workbookViewId="0">
      <selection activeCell="K13" sqref="K13"/>
    </sheetView>
  </sheetViews>
  <sheetFormatPr baseColWidth="10" defaultRowHeight="16" x14ac:dyDescent="0.2"/>
  <cols>
    <col min="2" max="2" width="12.5" bestFit="1" customWidth="1"/>
    <col min="3" max="3" width="22.33203125" bestFit="1" customWidth="1"/>
    <col min="4" max="7" width="11.1640625" bestFit="1" customWidth="1"/>
    <col min="8" max="8" width="14.1640625" bestFit="1" customWidth="1"/>
  </cols>
  <sheetData>
    <row r="1" spans="2:8" x14ac:dyDescent="0.2">
      <c r="B1" s="142" t="s">
        <v>44</v>
      </c>
      <c r="C1" s="142"/>
      <c r="D1" s="142"/>
      <c r="E1" s="142"/>
      <c r="F1" s="142"/>
      <c r="G1" s="142"/>
      <c r="H1" s="142"/>
    </row>
    <row r="2" spans="2:8" x14ac:dyDescent="0.2">
      <c r="B2" s="24"/>
      <c r="C2" s="24"/>
      <c r="D2" s="24"/>
      <c r="E2" s="24"/>
      <c r="F2" s="24"/>
      <c r="G2" s="24"/>
      <c r="H2" s="24"/>
    </row>
    <row r="3" spans="2:8" ht="17" thickBot="1" x14ac:dyDescent="0.25">
      <c r="B3" s="24"/>
      <c r="C3" s="24"/>
      <c r="D3" s="24"/>
      <c r="E3" s="24"/>
      <c r="F3" s="24"/>
      <c r="G3" s="24"/>
      <c r="H3" s="24"/>
    </row>
    <row r="4" spans="2:8" x14ac:dyDescent="0.2">
      <c r="B4" s="136" t="s">
        <v>33</v>
      </c>
      <c r="C4" s="138" t="s">
        <v>0</v>
      </c>
      <c r="D4" s="140" t="s">
        <v>1</v>
      </c>
      <c r="E4" s="5" t="s">
        <v>85</v>
      </c>
      <c r="F4" s="9" t="s">
        <v>34</v>
      </c>
      <c r="G4" s="5" t="s">
        <v>42</v>
      </c>
      <c r="H4" s="2" t="s">
        <v>36</v>
      </c>
    </row>
    <row r="5" spans="2:8" ht="17" thickBot="1" x14ac:dyDescent="0.25">
      <c r="B5" s="137"/>
      <c r="C5" s="139"/>
      <c r="D5" s="141"/>
      <c r="E5" s="6" t="s">
        <v>40</v>
      </c>
      <c r="F5" s="10" t="s">
        <v>35</v>
      </c>
      <c r="G5" s="6" t="s">
        <v>43</v>
      </c>
      <c r="H5" s="3" t="s">
        <v>37</v>
      </c>
    </row>
    <row r="6" spans="2:8" x14ac:dyDescent="0.2">
      <c r="B6" s="35">
        <v>19485.1875</v>
      </c>
      <c r="C6" s="11" t="s">
        <v>6</v>
      </c>
      <c r="D6" s="29">
        <v>0.6</v>
      </c>
      <c r="E6" s="11">
        <v>1</v>
      </c>
      <c r="F6" s="4">
        <v>19471.415003999999</v>
      </c>
      <c r="G6" s="13">
        <f>IF(MAX(F$6:F$9)=F6,1,0)</f>
        <v>1</v>
      </c>
      <c r="H6" s="36">
        <f>(B6-F6) / B6</f>
        <v>7.0681875655553275E-4</v>
      </c>
    </row>
    <row r="7" spans="2:8" x14ac:dyDescent="0.2">
      <c r="B7" s="37">
        <v>19485.1875</v>
      </c>
      <c r="C7" s="13" t="s">
        <v>6</v>
      </c>
      <c r="D7" s="30">
        <v>0.75</v>
      </c>
      <c r="E7" s="13">
        <v>2</v>
      </c>
      <c r="F7" s="4">
        <v>19462.75201</v>
      </c>
      <c r="G7" s="13">
        <f t="shared" ref="G7:G9" si="0">IF(MAX(F$6:F$9)=F7,1,0)</f>
        <v>0</v>
      </c>
      <c r="H7" s="20">
        <f>(B7-F7) / B7</f>
        <v>1.1514125794273135E-3</v>
      </c>
    </row>
    <row r="8" spans="2:8" x14ac:dyDescent="0.2">
      <c r="B8" s="37">
        <v>19485.1875</v>
      </c>
      <c r="C8" s="13" t="s">
        <v>6</v>
      </c>
      <c r="D8" s="30">
        <v>0.9</v>
      </c>
      <c r="E8" s="13">
        <v>3</v>
      </c>
      <c r="F8" s="4">
        <v>19464.797252</v>
      </c>
      <c r="G8" s="13">
        <f t="shared" si="0"/>
        <v>0</v>
      </c>
      <c r="H8" s="20">
        <f t="shared" ref="H8:H14" si="1">(B8-F8) / B8</f>
        <v>1.0464486420774602E-3</v>
      </c>
    </row>
    <row r="9" spans="2:8" x14ac:dyDescent="0.2">
      <c r="B9" s="37">
        <v>19485.1875</v>
      </c>
      <c r="C9" s="13" t="s">
        <v>6</v>
      </c>
      <c r="D9" s="30">
        <v>1</v>
      </c>
      <c r="E9" s="13">
        <v>4</v>
      </c>
      <c r="F9" s="4">
        <v>19470.284191999999</v>
      </c>
      <c r="G9" s="13">
        <f t="shared" si="0"/>
        <v>0</v>
      </c>
      <c r="H9" s="20">
        <f t="shared" si="1"/>
        <v>7.6485319938547343E-4</v>
      </c>
    </row>
    <row r="10" spans="2:8" x14ac:dyDescent="0.2">
      <c r="B10" s="14"/>
      <c r="C10" s="15" t="s">
        <v>2</v>
      </c>
      <c r="D10" s="16" t="s">
        <v>2</v>
      </c>
      <c r="E10" s="15" t="s">
        <v>2</v>
      </c>
      <c r="F10" s="33" t="s">
        <v>2</v>
      </c>
      <c r="G10" s="15" t="s">
        <v>38</v>
      </c>
      <c r="H10" s="38" t="e">
        <f>(B10-F10) / B10</f>
        <v>#VALUE!</v>
      </c>
    </row>
    <row r="11" spans="2:8" x14ac:dyDescent="0.2">
      <c r="B11" s="37">
        <v>19701.537110000001</v>
      </c>
      <c r="C11" s="18" t="s">
        <v>7</v>
      </c>
      <c r="D11" s="29">
        <v>0.6</v>
      </c>
      <c r="E11" s="13">
        <v>1</v>
      </c>
      <c r="F11" s="4">
        <v>19682.727522000001</v>
      </c>
      <c r="G11" s="18">
        <f>IF(MAX(F$11:F$14)=F11,1,0)</f>
        <v>0</v>
      </c>
      <c r="H11" s="20">
        <f t="shared" si="1"/>
        <v>9.5472692790314346E-4</v>
      </c>
    </row>
    <row r="12" spans="2:8" x14ac:dyDescent="0.2">
      <c r="B12" s="37">
        <v>19701.537110000001</v>
      </c>
      <c r="C12" s="18" t="s">
        <v>7</v>
      </c>
      <c r="D12" s="30">
        <v>0.75</v>
      </c>
      <c r="E12" s="13">
        <v>2</v>
      </c>
      <c r="F12" s="4">
        <v>19690.408350000002</v>
      </c>
      <c r="G12" s="18">
        <f>IF(MAX(F$11:F$14)=F12,1,0)</f>
        <v>1</v>
      </c>
      <c r="H12" s="20">
        <f t="shared" si="1"/>
        <v>5.6486760083054258E-4</v>
      </c>
    </row>
    <row r="13" spans="2:8" x14ac:dyDescent="0.2">
      <c r="B13" s="37">
        <v>19701.537110000001</v>
      </c>
      <c r="C13" s="18" t="s">
        <v>7</v>
      </c>
      <c r="D13" s="30">
        <v>0.9</v>
      </c>
      <c r="E13" s="13">
        <v>3</v>
      </c>
      <c r="F13" s="32">
        <v>19685.79261</v>
      </c>
      <c r="G13" s="18">
        <f>IF(MAX(F$11:F$14)=F13,1,0)</f>
        <v>0</v>
      </c>
      <c r="H13" s="20">
        <f t="shared" si="1"/>
        <v>7.9915084351510769E-4</v>
      </c>
    </row>
    <row r="14" spans="2:8" x14ac:dyDescent="0.2">
      <c r="B14" s="37">
        <v>19701.537110000001</v>
      </c>
      <c r="C14" s="18" t="s">
        <v>7</v>
      </c>
      <c r="D14" s="30">
        <v>1</v>
      </c>
      <c r="E14" s="13">
        <v>4</v>
      </c>
      <c r="F14" s="32">
        <v>19685.860578</v>
      </c>
      <c r="G14" s="18">
        <f>IF(MAX(F$11:F$14)=F14,1,0)</f>
        <v>0</v>
      </c>
      <c r="H14" s="20">
        <f t="shared" si="1"/>
        <v>7.9570096041106891E-4</v>
      </c>
    </row>
    <row r="15" spans="2:8" x14ac:dyDescent="0.2">
      <c r="B15" s="14"/>
      <c r="C15" s="16" t="s">
        <v>2</v>
      </c>
      <c r="D15" s="16" t="s">
        <v>2</v>
      </c>
      <c r="E15" s="16" t="s">
        <v>2</v>
      </c>
      <c r="F15" s="33" t="s">
        <v>2</v>
      </c>
      <c r="G15" s="16" t="s">
        <v>38</v>
      </c>
      <c r="H15" s="38" t="e">
        <f>(B15-F15) / B15</f>
        <v>#VALUE!</v>
      </c>
    </row>
    <row r="16" spans="2:8" x14ac:dyDescent="0.2">
      <c r="B16" s="37">
        <v>333</v>
      </c>
      <c r="C16" s="13" t="s">
        <v>10</v>
      </c>
      <c r="D16" s="29">
        <v>0.6</v>
      </c>
      <c r="E16" s="13">
        <v>1</v>
      </c>
      <c r="F16" s="4">
        <v>315.60000000000002</v>
      </c>
      <c r="G16" s="13">
        <f>IF(MAX(F$16:F$19)=F16,1,0)</f>
        <v>0</v>
      </c>
      <c r="H16" s="20">
        <f t="shared" ref="H16:H34" si="2">(B16-F16) / B16</f>
        <v>5.2252252252252183E-2</v>
      </c>
    </row>
    <row r="17" spans="2:8" x14ac:dyDescent="0.2">
      <c r="B17" s="37">
        <v>333</v>
      </c>
      <c r="C17" s="13" t="s">
        <v>10</v>
      </c>
      <c r="D17" s="30">
        <v>0.75</v>
      </c>
      <c r="E17" s="13">
        <v>2</v>
      </c>
      <c r="F17" s="4">
        <v>320.2</v>
      </c>
      <c r="G17" s="13">
        <f>IF(MAX(F$16:F$19)=F17,1,0)</f>
        <v>1</v>
      </c>
      <c r="H17" s="20">
        <f>(B17-F17) / B17</f>
        <v>3.8438438438438471E-2</v>
      </c>
    </row>
    <row r="18" spans="2:8" x14ac:dyDescent="0.2">
      <c r="B18" s="37">
        <v>333</v>
      </c>
      <c r="C18" s="13" t="s">
        <v>10</v>
      </c>
      <c r="D18" s="30">
        <v>0.9</v>
      </c>
      <c r="E18" s="13">
        <v>3</v>
      </c>
      <c r="F18" s="32">
        <v>316.39999999999998</v>
      </c>
      <c r="G18" s="13">
        <f>IF(MAX(F$16:F$19)=F18,1,0)</f>
        <v>0</v>
      </c>
      <c r="H18" s="20">
        <f>(B18-F18) / B18</f>
        <v>4.9849849849849921E-2</v>
      </c>
    </row>
    <row r="19" spans="2:8" x14ac:dyDescent="0.2">
      <c r="B19" s="37">
        <v>333</v>
      </c>
      <c r="C19" s="13" t="s">
        <v>10</v>
      </c>
      <c r="D19" s="30">
        <v>1</v>
      </c>
      <c r="E19" s="13">
        <v>4</v>
      </c>
      <c r="F19" s="32">
        <v>317</v>
      </c>
      <c r="G19" s="13">
        <f>IF(MAX(F$16:F$19)=F19,1,0)</f>
        <v>0</v>
      </c>
      <c r="H19" s="20">
        <f t="shared" si="2"/>
        <v>4.8048048048048048E-2</v>
      </c>
    </row>
    <row r="20" spans="2:8" x14ac:dyDescent="0.2">
      <c r="B20" s="14"/>
      <c r="C20" s="16" t="s">
        <v>2</v>
      </c>
      <c r="D20" s="16" t="s">
        <v>2</v>
      </c>
      <c r="E20" s="16" t="s">
        <v>2</v>
      </c>
      <c r="F20" s="33" t="s">
        <v>2</v>
      </c>
      <c r="G20" s="16" t="s">
        <v>38</v>
      </c>
      <c r="H20" s="38" t="e">
        <f>(B20-F20) / B20</f>
        <v>#VALUE!</v>
      </c>
    </row>
    <row r="21" spans="2:8" x14ac:dyDescent="0.2">
      <c r="B21" s="37">
        <v>1195</v>
      </c>
      <c r="C21" s="22" t="s">
        <v>11</v>
      </c>
      <c r="D21" s="29">
        <v>0.6</v>
      </c>
      <c r="E21" s="13">
        <v>1</v>
      </c>
      <c r="F21" s="4">
        <v>1167.2</v>
      </c>
      <c r="G21" s="13">
        <f>IF(MAX(F$21:F$24)=F21,1,0)</f>
        <v>0</v>
      </c>
      <c r="H21" s="20">
        <f t="shared" si="2"/>
        <v>2.3263598326359793E-2</v>
      </c>
    </row>
    <row r="22" spans="2:8" x14ac:dyDescent="0.2">
      <c r="B22" s="37">
        <v>1195</v>
      </c>
      <c r="C22" s="22" t="s">
        <v>11</v>
      </c>
      <c r="D22" s="30">
        <v>0.75</v>
      </c>
      <c r="E22" s="13">
        <v>2</v>
      </c>
      <c r="F22" s="4">
        <v>1164.8</v>
      </c>
      <c r="G22" s="13">
        <f>IF(MAX(F$21:F$24)=F22,1,0)</f>
        <v>0</v>
      </c>
      <c r="H22" s="20">
        <f t="shared" si="2"/>
        <v>2.5271966527196692E-2</v>
      </c>
    </row>
    <row r="23" spans="2:8" x14ac:dyDescent="0.2">
      <c r="B23" s="37">
        <v>1195</v>
      </c>
      <c r="C23" s="22" t="s">
        <v>11</v>
      </c>
      <c r="D23" s="30">
        <v>0.9</v>
      </c>
      <c r="E23" s="13">
        <v>3</v>
      </c>
      <c r="F23" s="4">
        <v>1181.8</v>
      </c>
      <c r="G23" s="13">
        <f>IF(MAX(F$21:F$24)=F23,1,0)</f>
        <v>1</v>
      </c>
      <c r="H23" s="20">
        <f t="shared" si="2"/>
        <v>1.1046025104602548E-2</v>
      </c>
    </row>
    <row r="24" spans="2:8" x14ac:dyDescent="0.2">
      <c r="B24" s="37">
        <v>1195</v>
      </c>
      <c r="C24" s="22" t="s">
        <v>11</v>
      </c>
      <c r="D24" s="30">
        <v>1</v>
      </c>
      <c r="E24" s="13">
        <v>4</v>
      </c>
      <c r="F24" s="4">
        <v>1178.8</v>
      </c>
      <c r="G24" s="13">
        <f>IF(MAX(F$21:F$24)=F24,1,0)</f>
        <v>0</v>
      </c>
      <c r="H24" s="20">
        <f t="shared" si="2"/>
        <v>1.3556485355648573E-2</v>
      </c>
    </row>
    <row r="25" spans="2:8" x14ac:dyDescent="0.2">
      <c r="B25" s="14"/>
      <c r="C25" s="16" t="s">
        <v>2</v>
      </c>
      <c r="D25" s="16" t="s">
        <v>2</v>
      </c>
      <c r="E25" s="16" t="s">
        <v>2</v>
      </c>
      <c r="F25" s="33" t="s">
        <v>2</v>
      </c>
      <c r="G25" s="16" t="s">
        <v>38</v>
      </c>
      <c r="H25" s="38" t="e">
        <f>(B25-F25) / B25</f>
        <v>#VALUE!</v>
      </c>
    </row>
    <row r="26" spans="2:8" x14ac:dyDescent="0.2">
      <c r="B26" s="37">
        <v>7833.8325199999999</v>
      </c>
      <c r="C26" s="27" t="s">
        <v>16</v>
      </c>
      <c r="D26" s="29">
        <v>0.6</v>
      </c>
      <c r="E26" s="13">
        <v>1</v>
      </c>
      <c r="F26" s="4">
        <v>7567.34</v>
      </c>
      <c r="G26" s="13">
        <f>IF(MAX(F$26:F$29)=F26,1,0)</f>
        <v>1</v>
      </c>
      <c r="H26" s="20">
        <f t="shared" si="2"/>
        <v>3.4018153862702162E-2</v>
      </c>
    </row>
    <row r="27" spans="2:8" x14ac:dyDescent="0.2">
      <c r="B27" s="37">
        <v>7833.8325199999999</v>
      </c>
      <c r="C27" s="27" t="s">
        <v>16</v>
      </c>
      <c r="D27" s="30">
        <v>0.75</v>
      </c>
      <c r="E27" s="13">
        <v>2</v>
      </c>
      <c r="F27" s="4">
        <v>7544.8220000000001</v>
      </c>
      <c r="G27" s="13">
        <f>IF(MAX(F$26:F$29)=F27,1,0)</f>
        <v>0</v>
      </c>
      <c r="H27" s="20">
        <f t="shared" si="2"/>
        <v>3.6892608983169817E-2</v>
      </c>
    </row>
    <row r="28" spans="2:8" x14ac:dyDescent="0.2">
      <c r="B28" s="37">
        <v>7833.8325199999999</v>
      </c>
      <c r="C28" s="27" t="s">
        <v>16</v>
      </c>
      <c r="D28" s="30">
        <v>0.9</v>
      </c>
      <c r="E28" s="13">
        <v>3</v>
      </c>
      <c r="F28" s="4">
        <v>7548.1440000000002</v>
      </c>
      <c r="G28" s="13">
        <f>IF(MAX(F$26:F$29)=F28,1,0)</f>
        <v>0</v>
      </c>
      <c r="H28" s="20">
        <f t="shared" si="2"/>
        <v>3.6468550900294161E-2</v>
      </c>
    </row>
    <row r="29" spans="2:8" x14ac:dyDescent="0.2">
      <c r="B29" s="37">
        <v>7833.8325199999999</v>
      </c>
      <c r="C29" s="27" t="s">
        <v>16</v>
      </c>
      <c r="D29" s="30">
        <v>1</v>
      </c>
      <c r="E29" s="13">
        <v>4</v>
      </c>
      <c r="F29" s="4">
        <v>7537.52</v>
      </c>
      <c r="G29" s="13">
        <f>IF(MAX(F$26:F$29)=F29,1,0)</f>
        <v>0</v>
      </c>
      <c r="H29" s="20">
        <f t="shared" si="2"/>
        <v>3.7824719796281721E-2</v>
      </c>
    </row>
    <row r="30" spans="2:8" x14ac:dyDescent="0.2">
      <c r="B30" s="14"/>
      <c r="C30" s="16" t="s">
        <v>2</v>
      </c>
      <c r="D30" s="16" t="s">
        <v>2</v>
      </c>
      <c r="E30" s="16" t="s">
        <v>2</v>
      </c>
      <c r="F30" s="33" t="s">
        <v>2</v>
      </c>
      <c r="G30" s="16" t="s">
        <v>38</v>
      </c>
      <c r="H30" s="38" t="e">
        <f>(B30-F30) / B30</f>
        <v>#VALUE!</v>
      </c>
    </row>
    <row r="31" spans="2:8" x14ac:dyDescent="0.2">
      <c r="B31" s="37">
        <v>7771.6616199999999</v>
      </c>
      <c r="C31" s="22" t="s">
        <v>17</v>
      </c>
      <c r="D31" s="29">
        <v>0.6</v>
      </c>
      <c r="E31" s="13">
        <v>1</v>
      </c>
      <c r="F31" s="4">
        <v>7522.4719999999998</v>
      </c>
      <c r="G31" s="13">
        <f>IF(MAX(F$31:F$34)=F31,1,0)</f>
        <v>0</v>
      </c>
      <c r="H31" s="20">
        <f>(B31-F31)/B31</f>
        <v>3.2063879281455397E-2</v>
      </c>
    </row>
    <row r="32" spans="2:8" x14ac:dyDescent="0.2">
      <c r="B32" s="37">
        <v>7771.6616199999999</v>
      </c>
      <c r="C32" s="22" t="s">
        <v>17</v>
      </c>
      <c r="D32" s="30">
        <v>0.75</v>
      </c>
      <c r="E32" s="13">
        <v>2</v>
      </c>
      <c r="F32" s="4">
        <v>7516.5259999999998</v>
      </c>
      <c r="G32" s="13">
        <f>IF(MAX(F$31:F$34)=F32,1,0)</f>
        <v>0</v>
      </c>
      <c r="H32" s="20">
        <f t="shared" si="2"/>
        <v>3.2828966632234821E-2</v>
      </c>
    </row>
    <row r="33" spans="2:8" x14ac:dyDescent="0.2">
      <c r="B33" s="37">
        <v>7771.6616199999999</v>
      </c>
      <c r="C33" s="22" t="s">
        <v>17</v>
      </c>
      <c r="D33" s="30">
        <v>0.9</v>
      </c>
      <c r="E33" s="13">
        <v>3</v>
      </c>
      <c r="F33" s="4">
        <v>7538.6220000000003</v>
      </c>
      <c r="G33" s="13">
        <f>IF(MAX(F$31:F$34)=F33,1,0)</f>
        <v>1</v>
      </c>
      <c r="H33" s="20">
        <f t="shared" si="2"/>
        <v>2.9985816598124038E-2</v>
      </c>
    </row>
    <row r="34" spans="2:8" x14ac:dyDescent="0.2">
      <c r="B34" s="37">
        <v>7771.6616199999999</v>
      </c>
      <c r="C34" s="22" t="s">
        <v>17</v>
      </c>
      <c r="D34" s="30">
        <v>1</v>
      </c>
      <c r="E34" s="13">
        <v>4</v>
      </c>
      <c r="F34" s="4">
        <v>7532.4260000000004</v>
      </c>
      <c r="G34" s="13">
        <f>IF(MAX(F$31:F$34)=F34,1,0)</f>
        <v>0</v>
      </c>
      <c r="H34" s="20">
        <f t="shared" si="2"/>
        <v>3.0783072101896205E-2</v>
      </c>
    </row>
    <row r="35" spans="2:8" x14ac:dyDescent="0.2">
      <c r="B35" s="14"/>
      <c r="C35" s="16" t="s">
        <v>2</v>
      </c>
      <c r="D35" s="16" t="s">
        <v>2</v>
      </c>
      <c r="E35" s="16" t="s">
        <v>2</v>
      </c>
      <c r="F35" s="33" t="s">
        <v>2</v>
      </c>
      <c r="G35" s="16" t="s">
        <v>38</v>
      </c>
      <c r="H35" s="38" t="e">
        <f>(B35-F35) / B35</f>
        <v>#VALUE!</v>
      </c>
    </row>
    <row r="36" spans="2:8" x14ac:dyDescent="0.2">
      <c r="B36" s="37">
        <v>778030.625</v>
      </c>
      <c r="C36" s="22" t="s">
        <v>22</v>
      </c>
      <c r="D36" s="29">
        <v>0.6</v>
      </c>
      <c r="E36" s="13">
        <v>1</v>
      </c>
      <c r="F36" s="4">
        <v>755469.81200000003</v>
      </c>
      <c r="G36" s="13">
        <f>IF(MAX(F$36:F$39)=F36,1,0)</f>
        <v>1</v>
      </c>
      <c r="H36" s="20">
        <f t="shared" ref="H36:H49" si="3">(B36-F36) / B36</f>
        <v>2.899733284920496E-2</v>
      </c>
    </row>
    <row r="37" spans="2:8" x14ac:dyDescent="0.2">
      <c r="B37" s="37">
        <v>778030.625</v>
      </c>
      <c r="C37" s="22" t="s">
        <v>22</v>
      </c>
      <c r="D37" s="30">
        <v>0.75</v>
      </c>
      <c r="E37" s="13">
        <v>2</v>
      </c>
      <c r="F37" s="4">
        <v>754837.38800000004</v>
      </c>
      <c r="G37" s="13">
        <f>IF(MAX(F$36:F$39)=F37,1,0)</f>
        <v>0</v>
      </c>
      <c r="H37" s="20">
        <f t="shared" si="3"/>
        <v>2.9810185171052828E-2</v>
      </c>
    </row>
    <row r="38" spans="2:8" x14ac:dyDescent="0.2">
      <c r="B38" s="37">
        <v>778030.625</v>
      </c>
      <c r="C38" s="22" t="s">
        <v>22</v>
      </c>
      <c r="D38" s="30">
        <v>0.9</v>
      </c>
      <c r="E38" s="13">
        <v>3</v>
      </c>
      <c r="F38" s="4">
        <v>751675.89199999999</v>
      </c>
      <c r="G38" s="13">
        <f>IF(MAX(F$36:F$39)=F38,1,0)</f>
        <v>0</v>
      </c>
      <c r="H38" s="20">
        <f t="shared" si="3"/>
        <v>3.3873644755307679E-2</v>
      </c>
    </row>
    <row r="39" spans="2:8" x14ac:dyDescent="0.2">
      <c r="B39" s="37">
        <v>778030.625</v>
      </c>
      <c r="C39" s="22" t="s">
        <v>22</v>
      </c>
      <c r="D39" s="30">
        <v>1</v>
      </c>
      <c r="E39" s="13">
        <v>4</v>
      </c>
      <c r="F39" s="4">
        <v>750489.37</v>
      </c>
      <c r="G39" s="13">
        <f>IF(MAX(F$36:F$39)=F39,1,0)</f>
        <v>0</v>
      </c>
      <c r="H39" s="20">
        <f t="shared" si="3"/>
        <v>3.5398677269291301E-2</v>
      </c>
    </row>
    <row r="40" spans="2:8" x14ac:dyDescent="0.2">
      <c r="B40" s="14"/>
      <c r="C40" s="16" t="s">
        <v>2</v>
      </c>
      <c r="D40" s="16" t="s">
        <v>2</v>
      </c>
      <c r="E40" s="16" t="s">
        <v>2</v>
      </c>
      <c r="F40" s="33" t="s">
        <v>2</v>
      </c>
      <c r="G40" s="16" t="s">
        <v>38</v>
      </c>
      <c r="H40" s="38" t="e">
        <f>(B40-F40) / B40</f>
        <v>#VALUE!</v>
      </c>
    </row>
    <row r="41" spans="2:8" x14ac:dyDescent="0.2">
      <c r="B41" s="37">
        <v>779963.6875</v>
      </c>
      <c r="C41" s="27" t="s">
        <v>23</v>
      </c>
      <c r="D41" s="29">
        <v>0.6</v>
      </c>
      <c r="E41" s="27"/>
      <c r="F41" s="4">
        <v>755153.63</v>
      </c>
      <c r="G41" s="27">
        <f>IF(MAX(F$41:F$44)=F41,1,0)</f>
        <v>1</v>
      </c>
      <c r="H41" s="20">
        <f>(B41-F41) / B41</f>
        <v>3.1809246888817491E-2</v>
      </c>
    </row>
    <row r="42" spans="2:8" x14ac:dyDescent="0.2">
      <c r="B42" s="37">
        <v>779963.6875</v>
      </c>
      <c r="C42" s="27" t="s">
        <v>23</v>
      </c>
      <c r="D42" s="30">
        <v>0.75</v>
      </c>
      <c r="E42" s="27"/>
      <c r="F42" s="4">
        <v>753660.91399999999</v>
      </c>
      <c r="G42" s="27">
        <f>IF(MAX(F$41:F$44)=F42,1,0)</f>
        <v>0</v>
      </c>
      <c r="H42" s="20">
        <f>(B42-F42) / B42</f>
        <v>3.3723074447616526E-2</v>
      </c>
    </row>
    <row r="43" spans="2:8" x14ac:dyDescent="0.2">
      <c r="B43" s="37">
        <v>779963.6875</v>
      </c>
      <c r="C43" s="27" t="s">
        <v>23</v>
      </c>
      <c r="D43" s="30">
        <v>0.9</v>
      </c>
      <c r="E43" s="27"/>
      <c r="F43" s="4">
        <v>751959.62800000003</v>
      </c>
      <c r="G43" s="27">
        <f>IF(MAX(F$41:F$44)=F43,1,0)</f>
        <v>0</v>
      </c>
      <c r="H43" s="20">
        <f t="shared" si="3"/>
        <v>3.590431189144299E-2</v>
      </c>
    </row>
    <row r="44" spans="2:8" x14ac:dyDescent="0.2">
      <c r="B44" s="37">
        <v>779963.6875</v>
      </c>
      <c r="C44" s="27" t="s">
        <v>23</v>
      </c>
      <c r="D44" s="30">
        <v>1</v>
      </c>
      <c r="E44" s="27"/>
      <c r="F44" s="4">
        <v>752127.61199999996</v>
      </c>
      <c r="G44" s="27">
        <f>IF(MAX(F$41:F$44)=F44,1,0)</f>
        <v>0</v>
      </c>
      <c r="H44" s="20">
        <f t="shared" si="3"/>
        <v>3.5688937762246832E-2</v>
      </c>
    </row>
    <row r="45" spans="2:8" x14ac:dyDescent="0.2">
      <c r="B45" s="14"/>
      <c r="C45" s="16" t="s">
        <v>2</v>
      </c>
      <c r="D45" s="16" t="s">
        <v>2</v>
      </c>
      <c r="E45" s="16" t="s">
        <v>2</v>
      </c>
      <c r="F45" s="33" t="s">
        <v>2</v>
      </c>
      <c r="G45" s="16" t="s">
        <v>38</v>
      </c>
      <c r="H45" s="38" t="e">
        <f>(B45-F45) / B45</f>
        <v>#VALUE!</v>
      </c>
    </row>
    <row r="46" spans="2:8" x14ac:dyDescent="0.2">
      <c r="B46" s="37">
        <v>24884110</v>
      </c>
      <c r="C46" s="27" t="s">
        <v>4</v>
      </c>
      <c r="D46" s="29">
        <v>0.6</v>
      </c>
      <c r="E46" s="13">
        <v>1</v>
      </c>
      <c r="F46" s="34">
        <v>23984187.399999999</v>
      </c>
      <c r="G46" s="27">
        <f>IF(MAX(F$46:F$49)=F46,1,0)</f>
        <v>1</v>
      </c>
      <c r="H46" s="20">
        <f t="shared" si="3"/>
        <v>3.6164548380472582E-2</v>
      </c>
    </row>
    <row r="47" spans="2:8" x14ac:dyDescent="0.2">
      <c r="B47" s="37">
        <v>24884110</v>
      </c>
      <c r="C47" s="27" t="s">
        <v>4</v>
      </c>
      <c r="D47" s="30">
        <v>0.75</v>
      </c>
      <c r="E47" s="13">
        <v>2</v>
      </c>
      <c r="F47" s="34">
        <v>23971117.399999999</v>
      </c>
      <c r="G47" s="27">
        <f>IF(MAX(F$46:F$49)=F47,1,0)</f>
        <v>0</v>
      </c>
      <c r="H47" s="20">
        <f t="shared" si="3"/>
        <v>3.6689783158811044E-2</v>
      </c>
    </row>
    <row r="48" spans="2:8" x14ac:dyDescent="0.2">
      <c r="B48" s="37">
        <v>24884110</v>
      </c>
      <c r="C48" s="27" t="s">
        <v>4</v>
      </c>
      <c r="D48" s="30">
        <v>0.9</v>
      </c>
      <c r="E48" s="13">
        <v>3</v>
      </c>
      <c r="F48" s="34">
        <v>23958792.600000001</v>
      </c>
      <c r="G48" s="27">
        <f>IF(MAX(F$46:F$49)=F48,1,0)</f>
        <v>0</v>
      </c>
      <c r="H48" s="20">
        <f t="shared" si="3"/>
        <v>3.7185071115663708E-2</v>
      </c>
    </row>
    <row r="49" spans="2:8" x14ac:dyDescent="0.2">
      <c r="B49" s="37">
        <v>24884110</v>
      </c>
      <c r="C49" s="27" t="s">
        <v>4</v>
      </c>
      <c r="D49" s="30">
        <v>1</v>
      </c>
      <c r="E49" s="13">
        <v>4</v>
      </c>
      <c r="F49" s="34">
        <v>23979522</v>
      </c>
      <c r="G49" s="27">
        <f>IF(MAX(F$46:F$49)=F49,1,0)</f>
        <v>0</v>
      </c>
      <c r="H49" s="20">
        <f t="shared" si="3"/>
        <v>3.6352033486429694E-2</v>
      </c>
    </row>
    <row r="50" spans="2:8" x14ac:dyDescent="0.2">
      <c r="B50" s="14"/>
      <c r="C50" s="16" t="s">
        <v>2</v>
      </c>
      <c r="D50" s="16" t="s">
        <v>2</v>
      </c>
      <c r="E50" s="16" t="s">
        <v>2</v>
      </c>
      <c r="F50" s="33" t="s">
        <v>2</v>
      </c>
      <c r="G50" s="16" t="s">
        <v>38</v>
      </c>
      <c r="H50" s="38" t="e">
        <f>(B50-F50) / B50</f>
        <v>#VALUE!</v>
      </c>
    </row>
    <row r="51" spans="2:8" x14ac:dyDescent="0.2">
      <c r="B51" s="37">
        <v>24905330</v>
      </c>
      <c r="C51" s="27" t="s">
        <v>28</v>
      </c>
      <c r="D51" s="29">
        <v>0.6</v>
      </c>
      <c r="E51" s="13">
        <v>1</v>
      </c>
      <c r="F51" s="28">
        <v>24005118.600000001</v>
      </c>
      <c r="G51" s="27">
        <f>IF(MAX(F$51:F$54)=F51,1,0)</f>
        <v>1</v>
      </c>
      <c r="H51" s="20">
        <f>(B51-F51) / B51</f>
        <v>3.6145331139960747E-2</v>
      </c>
    </row>
    <row r="52" spans="2:8" x14ac:dyDescent="0.2">
      <c r="B52" s="37">
        <v>24905330</v>
      </c>
      <c r="C52" s="27" t="s">
        <v>28</v>
      </c>
      <c r="D52" s="30">
        <v>0.75</v>
      </c>
      <c r="E52" s="13">
        <v>2</v>
      </c>
      <c r="F52" s="28">
        <v>23964524.199999999</v>
      </c>
      <c r="G52" s="27">
        <f>IF(MAX(F$51:F$54)=F52,1,0)</f>
        <v>0</v>
      </c>
      <c r="H52" s="20">
        <f>(B52-F52) / B52</f>
        <v>3.7775279428138506E-2</v>
      </c>
    </row>
    <row r="53" spans="2:8" x14ac:dyDescent="0.2">
      <c r="B53" s="37">
        <v>24905330</v>
      </c>
      <c r="C53" s="27" t="s">
        <v>28</v>
      </c>
      <c r="D53" s="30">
        <v>0.9</v>
      </c>
      <c r="E53" s="13">
        <v>3</v>
      </c>
      <c r="F53" s="28">
        <v>23942589.800000001</v>
      </c>
      <c r="G53" s="27">
        <f>IF(MAX(F$51:F$54)=F53,1,0)</f>
        <v>0</v>
      </c>
      <c r="H53" s="20">
        <f>(B53-F53) / B53</f>
        <v>3.865599050484371E-2</v>
      </c>
    </row>
    <row r="54" spans="2:8" ht="17" thickBot="1" x14ac:dyDescent="0.25">
      <c r="B54" s="39">
        <v>24905330</v>
      </c>
      <c r="C54" s="40" t="s">
        <v>28</v>
      </c>
      <c r="D54" s="41">
        <v>1</v>
      </c>
      <c r="E54" s="42">
        <v>4</v>
      </c>
      <c r="F54" s="43">
        <v>23961006.800000001</v>
      </c>
      <c r="G54" s="40">
        <f>IF(MAX(F$51:F$54)=F54,1,0)</f>
        <v>0</v>
      </c>
      <c r="H54" s="44">
        <f>(B54-F54) / B54</f>
        <v>3.7916510240980514E-2</v>
      </c>
    </row>
  </sheetData>
  <mergeCells count="4">
    <mergeCell ref="B1:H1"/>
    <mergeCell ref="B4:B5"/>
    <mergeCell ref="C4:C5"/>
    <mergeCell ref="D4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864A-AD95-4B4A-8D70-65396B60EF58}">
  <dimension ref="B1:N214"/>
  <sheetViews>
    <sheetView showGridLines="0" zoomScale="125" workbookViewId="0">
      <selection activeCell="K205" sqref="K205"/>
    </sheetView>
  </sheetViews>
  <sheetFormatPr baseColWidth="10" defaultRowHeight="16" x14ac:dyDescent="0.2"/>
  <cols>
    <col min="2" max="2" width="11.33203125" bestFit="1" customWidth="1"/>
    <col min="3" max="3" width="22.33203125" bestFit="1" customWidth="1"/>
    <col min="4" max="4" width="15.5" bestFit="1" customWidth="1"/>
    <col min="5" max="5" width="11" style="48" bestFit="1" customWidth="1"/>
    <col min="6" max="6" width="14" bestFit="1" customWidth="1"/>
    <col min="7" max="7" width="11.33203125" bestFit="1" customWidth="1"/>
    <col min="8" max="8" width="14.1640625" bestFit="1" customWidth="1"/>
  </cols>
  <sheetData>
    <row r="1" spans="2:8" x14ac:dyDescent="0.2">
      <c r="B1" s="142" t="s">
        <v>87</v>
      </c>
      <c r="C1" s="142"/>
      <c r="D1" s="142"/>
      <c r="E1" s="142" t="s">
        <v>39</v>
      </c>
      <c r="F1" s="142"/>
      <c r="G1" s="142"/>
      <c r="H1" s="142"/>
    </row>
    <row r="2" spans="2:8" x14ac:dyDescent="0.2">
      <c r="B2" s="24"/>
      <c r="C2" s="24"/>
      <c r="D2" s="24"/>
      <c r="E2" s="45"/>
      <c r="F2" s="24"/>
      <c r="G2" s="24"/>
      <c r="H2" s="24"/>
    </row>
    <row r="3" spans="2:8" ht="17" thickBot="1" x14ac:dyDescent="0.25">
      <c r="B3" s="24"/>
      <c r="C3" s="24"/>
      <c r="D3" s="24"/>
      <c r="E3" s="45"/>
      <c r="F3" s="24"/>
      <c r="G3" s="24"/>
      <c r="H3" s="24"/>
    </row>
    <row r="4" spans="2:8" x14ac:dyDescent="0.2">
      <c r="B4" s="136" t="s">
        <v>33</v>
      </c>
      <c r="C4" s="138" t="s">
        <v>0</v>
      </c>
      <c r="D4" s="140" t="s">
        <v>1</v>
      </c>
      <c r="E4" s="46" t="s">
        <v>41</v>
      </c>
      <c r="F4" s="9" t="s">
        <v>34</v>
      </c>
      <c r="G4" s="138" t="s">
        <v>86</v>
      </c>
      <c r="H4" s="2" t="s">
        <v>36</v>
      </c>
    </row>
    <row r="5" spans="2:8" ht="17" thickBot="1" x14ac:dyDescent="0.25">
      <c r="B5" s="143"/>
      <c r="C5" s="144"/>
      <c r="D5" s="145"/>
      <c r="E5" s="58" t="s">
        <v>40</v>
      </c>
      <c r="F5" s="59" t="s">
        <v>35</v>
      </c>
      <c r="G5" s="144"/>
      <c r="H5" s="61" t="s">
        <v>37</v>
      </c>
    </row>
    <row r="6" spans="2:8" x14ac:dyDescent="0.2">
      <c r="B6" s="106">
        <v>19485.1875</v>
      </c>
      <c r="C6" s="12" t="s">
        <v>6</v>
      </c>
      <c r="D6" s="84" t="s">
        <v>45</v>
      </c>
      <c r="E6" s="107" t="s">
        <v>49</v>
      </c>
      <c r="F6" s="84">
        <v>17713.883932000001</v>
      </c>
      <c r="G6" s="12">
        <f t="shared" ref="G6:G25" si="0">_xlfn.RANK.EQ(F6,$F$6:$F$25,0)</f>
        <v>20</v>
      </c>
      <c r="H6" s="108">
        <f>(B6-F6) / B6</f>
        <v>9.0905133348088099E-2</v>
      </c>
    </row>
    <row r="7" spans="2:8" x14ac:dyDescent="0.2">
      <c r="B7" s="57">
        <v>19485.1875</v>
      </c>
      <c r="C7" s="21" t="s">
        <v>6</v>
      </c>
      <c r="D7" s="8" t="s">
        <v>46</v>
      </c>
      <c r="E7" s="55" t="s">
        <v>52</v>
      </c>
      <c r="F7" s="8">
        <v>17769.509694</v>
      </c>
      <c r="G7" s="21">
        <f t="shared" si="0"/>
        <v>19</v>
      </c>
      <c r="H7" s="20">
        <f t="shared" ref="H7:H25" si="1">(B7-F7) / B7</f>
        <v>8.8050361640091973E-2</v>
      </c>
    </row>
    <row r="8" spans="2:8" x14ac:dyDescent="0.2">
      <c r="B8" s="57">
        <v>19485.1875</v>
      </c>
      <c r="C8" s="21" t="s">
        <v>6</v>
      </c>
      <c r="D8" s="8" t="s">
        <v>47</v>
      </c>
      <c r="E8" s="55" t="s">
        <v>50</v>
      </c>
      <c r="F8" s="8">
        <v>17941.580018000001</v>
      </c>
      <c r="G8" s="21">
        <f t="shared" si="0"/>
        <v>17</v>
      </c>
      <c r="H8" s="20">
        <f t="shared" si="1"/>
        <v>7.9219534428395896E-2</v>
      </c>
    </row>
    <row r="9" spans="2:8" x14ac:dyDescent="0.2">
      <c r="B9" s="57">
        <v>19485.1875</v>
      </c>
      <c r="C9" s="21" t="s">
        <v>6</v>
      </c>
      <c r="D9" s="8" t="s">
        <v>48</v>
      </c>
      <c r="E9" s="55" t="s">
        <v>51</v>
      </c>
      <c r="F9" s="8">
        <v>17802.404458000001</v>
      </c>
      <c r="G9" s="21">
        <f t="shared" si="0"/>
        <v>18</v>
      </c>
      <c r="H9" s="20">
        <f t="shared" si="1"/>
        <v>8.6362168288090582E-2</v>
      </c>
    </row>
    <row r="10" spans="2:8" x14ac:dyDescent="0.2">
      <c r="B10" s="57">
        <v>19485.1875</v>
      </c>
      <c r="C10" s="21" t="s">
        <v>6</v>
      </c>
      <c r="D10" s="8" t="s">
        <v>70</v>
      </c>
      <c r="E10" s="55" t="s">
        <v>53</v>
      </c>
      <c r="F10" s="8">
        <v>18739.851461999999</v>
      </c>
      <c r="G10" s="21">
        <f t="shared" si="0"/>
        <v>16</v>
      </c>
      <c r="H10" s="20">
        <f t="shared" si="1"/>
        <v>3.8251417288132396E-2</v>
      </c>
    </row>
    <row r="11" spans="2:8" x14ac:dyDescent="0.2">
      <c r="B11" s="57">
        <v>19485.1875</v>
      </c>
      <c r="C11" s="21" t="s">
        <v>6</v>
      </c>
      <c r="D11" s="8" t="s">
        <v>71</v>
      </c>
      <c r="E11" s="55" t="s">
        <v>54</v>
      </c>
      <c r="F11" s="8">
        <v>18823.493364000002</v>
      </c>
      <c r="G11" s="21">
        <f t="shared" si="0"/>
        <v>14</v>
      </c>
      <c r="H11" s="20">
        <f t="shared" si="1"/>
        <v>3.3958828263777205E-2</v>
      </c>
    </row>
    <row r="12" spans="2:8" x14ac:dyDescent="0.2">
      <c r="B12" s="57">
        <v>19485.1875</v>
      </c>
      <c r="C12" s="21" t="s">
        <v>6</v>
      </c>
      <c r="D12" s="8" t="s">
        <v>72</v>
      </c>
      <c r="E12" s="55" t="s">
        <v>55</v>
      </c>
      <c r="F12" s="8">
        <v>18823.111980000001</v>
      </c>
      <c r="G12" s="21">
        <f t="shared" si="0"/>
        <v>15</v>
      </c>
      <c r="H12" s="20">
        <f t="shared" si="1"/>
        <v>3.3978401285591861E-2</v>
      </c>
    </row>
    <row r="13" spans="2:8" x14ac:dyDescent="0.2">
      <c r="B13" s="57">
        <v>19485.1875</v>
      </c>
      <c r="C13" s="21" t="s">
        <v>6</v>
      </c>
      <c r="D13" s="8" t="s">
        <v>69</v>
      </c>
      <c r="E13" s="55" t="s">
        <v>56</v>
      </c>
      <c r="F13" s="8">
        <v>18897.949696</v>
      </c>
      <c r="G13" s="21">
        <f t="shared" si="0"/>
        <v>13</v>
      </c>
      <c r="H13" s="20">
        <f t="shared" si="1"/>
        <v>3.0137652203757359E-2</v>
      </c>
    </row>
    <row r="14" spans="2:8" x14ac:dyDescent="0.2">
      <c r="B14" s="57">
        <v>19485.1875</v>
      </c>
      <c r="C14" s="21" t="s">
        <v>6</v>
      </c>
      <c r="D14" s="8" t="s">
        <v>73</v>
      </c>
      <c r="E14" s="55" t="s">
        <v>57</v>
      </c>
      <c r="F14" s="8">
        <v>19351.551196</v>
      </c>
      <c r="G14" s="21">
        <f t="shared" si="0"/>
        <v>12</v>
      </c>
      <c r="H14" s="20">
        <f t="shared" si="1"/>
        <v>6.8583535057078438E-3</v>
      </c>
    </row>
    <row r="15" spans="2:8" x14ac:dyDescent="0.2">
      <c r="B15" s="57">
        <v>19485.1875</v>
      </c>
      <c r="C15" s="21" t="s">
        <v>6</v>
      </c>
      <c r="D15" s="8" t="s">
        <v>74</v>
      </c>
      <c r="E15" s="55" t="s">
        <v>58</v>
      </c>
      <c r="F15" s="8">
        <v>19374.776610000001</v>
      </c>
      <c r="G15" s="21">
        <f t="shared" si="0"/>
        <v>11</v>
      </c>
      <c r="H15" s="20">
        <f t="shared" si="1"/>
        <v>5.6664012086103457E-3</v>
      </c>
    </row>
    <row r="16" spans="2:8" x14ac:dyDescent="0.2">
      <c r="B16" s="57">
        <v>19485.1875</v>
      </c>
      <c r="C16" s="21" t="s">
        <v>6</v>
      </c>
      <c r="D16" s="8" t="s">
        <v>75</v>
      </c>
      <c r="E16" s="55" t="s">
        <v>59</v>
      </c>
      <c r="F16" s="8">
        <v>19381.211567999999</v>
      </c>
      <c r="G16" s="21">
        <f t="shared" si="0"/>
        <v>10</v>
      </c>
      <c r="H16" s="20">
        <f t="shared" si="1"/>
        <v>5.3361525004571395E-3</v>
      </c>
    </row>
    <row r="17" spans="2:14" x14ac:dyDescent="0.2">
      <c r="B17" s="57">
        <v>19485.1875</v>
      </c>
      <c r="C17" s="21" t="s">
        <v>6</v>
      </c>
      <c r="D17" s="8" t="s">
        <v>76</v>
      </c>
      <c r="E17" s="55" t="s">
        <v>60</v>
      </c>
      <c r="F17" s="8">
        <v>19388.749847999999</v>
      </c>
      <c r="G17" s="21">
        <f t="shared" si="0"/>
        <v>9</v>
      </c>
      <c r="H17" s="20">
        <f t="shared" si="1"/>
        <v>4.9492801647405514E-3</v>
      </c>
    </row>
    <row r="18" spans="2:14" x14ac:dyDescent="0.2">
      <c r="B18" s="57">
        <v>19485.1875</v>
      </c>
      <c r="C18" s="21" t="s">
        <v>6</v>
      </c>
      <c r="D18" s="8" t="s">
        <v>77</v>
      </c>
      <c r="E18" s="56" t="s">
        <v>61</v>
      </c>
      <c r="F18" s="8">
        <v>19438.957048</v>
      </c>
      <c r="G18" s="21">
        <f t="shared" si="0"/>
        <v>7</v>
      </c>
      <c r="H18" s="20">
        <f t="shared" si="1"/>
        <v>2.3725946696689362E-3</v>
      </c>
    </row>
    <row r="19" spans="2:14" x14ac:dyDescent="0.2">
      <c r="B19" s="57">
        <v>19485.1875</v>
      </c>
      <c r="C19" s="21" t="s">
        <v>6</v>
      </c>
      <c r="D19" s="8" t="s">
        <v>78</v>
      </c>
      <c r="E19" s="56" t="s">
        <v>62</v>
      </c>
      <c r="F19" s="8">
        <v>19438.273988000001</v>
      </c>
      <c r="G19" s="21">
        <f t="shared" si="0"/>
        <v>8</v>
      </c>
      <c r="H19" s="20">
        <f t="shared" si="1"/>
        <v>2.4076500161981595E-3</v>
      </c>
    </row>
    <row r="20" spans="2:14" x14ac:dyDescent="0.2">
      <c r="B20" s="57">
        <v>19485.1875</v>
      </c>
      <c r="C20" s="21" t="s">
        <v>6</v>
      </c>
      <c r="D20" s="8" t="s">
        <v>79</v>
      </c>
      <c r="E20" s="56" t="s">
        <v>63</v>
      </c>
      <c r="F20" s="8">
        <v>19445.071749999999</v>
      </c>
      <c r="G20" s="21">
        <f t="shared" si="0"/>
        <v>5</v>
      </c>
      <c r="H20" s="20">
        <f t="shared" si="1"/>
        <v>2.0587818310704399E-3</v>
      </c>
    </row>
    <row r="21" spans="2:14" x14ac:dyDescent="0.2">
      <c r="B21" s="57">
        <v>19485.1875</v>
      </c>
      <c r="C21" s="21" t="s">
        <v>6</v>
      </c>
      <c r="D21" s="8" t="s">
        <v>80</v>
      </c>
      <c r="E21" s="56" t="s">
        <v>64</v>
      </c>
      <c r="F21" s="8">
        <v>19443.488398000001</v>
      </c>
      <c r="G21" s="21">
        <f t="shared" si="0"/>
        <v>6</v>
      </c>
      <c r="H21" s="20">
        <f t="shared" si="1"/>
        <v>2.1400410953191329E-3</v>
      </c>
    </row>
    <row r="22" spans="2:14" x14ac:dyDescent="0.2">
      <c r="B22" s="57">
        <v>19485.1875</v>
      </c>
      <c r="C22" s="21" t="s">
        <v>6</v>
      </c>
      <c r="D22" s="8" t="s">
        <v>81</v>
      </c>
      <c r="E22" s="56" t="s">
        <v>65</v>
      </c>
      <c r="F22" s="8">
        <v>19464.680211999999</v>
      </c>
      <c r="G22" s="21">
        <f t="shared" si="0"/>
        <v>4</v>
      </c>
      <c r="H22" s="20">
        <f t="shared" si="1"/>
        <v>1.0524552560759654E-3</v>
      </c>
    </row>
    <row r="23" spans="2:14" x14ac:dyDescent="0.2">
      <c r="B23" s="57">
        <v>19485.1875</v>
      </c>
      <c r="C23" s="21" t="s">
        <v>6</v>
      </c>
      <c r="D23" s="8" t="s">
        <v>82</v>
      </c>
      <c r="E23" s="56" t="s">
        <v>66</v>
      </c>
      <c r="F23" s="8">
        <v>19468.505838000001</v>
      </c>
      <c r="G23" s="21">
        <f t="shared" si="0"/>
        <v>1</v>
      </c>
      <c r="H23" s="20">
        <f t="shared" si="1"/>
        <v>8.5612016820464524E-4</v>
      </c>
    </row>
    <row r="24" spans="2:14" x14ac:dyDescent="0.2">
      <c r="B24" s="57">
        <v>19485.1875</v>
      </c>
      <c r="C24" s="21" t="s">
        <v>6</v>
      </c>
      <c r="D24" s="8" t="s">
        <v>83</v>
      </c>
      <c r="E24" s="56" t="s">
        <v>67</v>
      </c>
      <c r="F24" s="8">
        <v>19467.800329999998</v>
      </c>
      <c r="G24" s="21">
        <f t="shared" si="0"/>
        <v>2</v>
      </c>
      <c r="H24" s="20">
        <f t="shared" si="1"/>
        <v>8.9232756933962216E-4</v>
      </c>
    </row>
    <row r="25" spans="2:14" x14ac:dyDescent="0.2">
      <c r="B25" s="57">
        <v>19485.1875</v>
      </c>
      <c r="C25" s="21" t="s">
        <v>6</v>
      </c>
      <c r="D25" s="8" t="s">
        <v>84</v>
      </c>
      <c r="E25" s="56" t="s">
        <v>68</v>
      </c>
      <c r="F25" s="8">
        <v>19465.865591999998</v>
      </c>
      <c r="G25" s="21">
        <f t="shared" si="0"/>
        <v>3</v>
      </c>
      <c r="H25" s="20">
        <f t="shared" si="1"/>
        <v>9.9162032697923549E-4</v>
      </c>
    </row>
    <row r="26" spans="2:14" x14ac:dyDescent="0.2">
      <c r="B26" s="67"/>
      <c r="C26" s="16" t="s">
        <v>2</v>
      </c>
      <c r="D26" s="15" t="s">
        <v>2</v>
      </c>
      <c r="E26" s="47" t="s">
        <v>2</v>
      </c>
      <c r="F26" s="17" t="s">
        <v>2</v>
      </c>
      <c r="G26" s="16" t="s">
        <v>38</v>
      </c>
      <c r="H26" s="38" t="e">
        <f>(B26-F26) / B26</f>
        <v>#VALUE!</v>
      </c>
    </row>
    <row r="27" spans="2:14" x14ac:dyDescent="0.2">
      <c r="B27" s="57">
        <v>19701.537110000001</v>
      </c>
      <c r="C27" s="19" t="s">
        <v>7</v>
      </c>
      <c r="D27" s="8" t="s">
        <v>45</v>
      </c>
      <c r="E27" s="55" t="s">
        <v>49</v>
      </c>
      <c r="F27" s="51">
        <v>17841.987229999999</v>
      </c>
      <c r="G27" s="19">
        <f>_xlfn.RANK.EQ(F27,$F$27:$F$46,0)</f>
        <v>19</v>
      </c>
      <c r="H27" s="20">
        <f t="shared" ref="H27:H46" si="2">(B27-F27) / B27</f>
        <v>9.4386030369992907E-2</v>
      </c>
      <c r="I27" s="49"/>
      <c r="J27" s="49"/>
      <c r="K27" s="49"/>
      <c r="L27" s="49"/>
      <c r="M27" s="49"/>
      <c r="N27" s="49"/>
    </row>
    <row r="28" spans="2:14" x14ac:dyDescent="0.2">
      <c r="B28" s="57">
        <v>19701.537110000001</v>
      </c>
      <c r="C28" s="19" t="s">
        <v>7</v>
      </c>
      <c r="D28" s="8" t="s">
        <v>46</v>
      </c>
      <c r="E28" s="55" t="s">
        <v>52</v>
      </c>
      <c r="F28" s="51">
        <v>17786.95693</v>
      </c>
      <c r="G28" s="19">
        <f t="shared" ref="G28:G46" si="3">_xlfn.RANK.EQ(F28,$F$27:$F$46,0)</f>
        <v>20</v>
      </c>
      <c r="H28" s="20">
        <f t="shared" si="2"/>
        <v>9.7179228671868872E-2</v>
      </c>
      <c r="I28" s="50"/>
      <c r="J28" s="50"/>
      <c r="K28" s="50"/>
      <c r="L28" s="50"/>
      <c r="M28" s="50"/>
      <c r="N28" s="50"/>
    </row>
    <row r="29" spans="2:14" x14ac:dyDescent="0.2">
      <c r="B29" s="57">
        <v>19701.537110000001</v>
      </c>
      <c r="C29" s="19" t="s">
        <v>7</v>
      </c>
      <c r="D29" s="8" t="s">
        <v>47</v>
      </c>
      <c r="E29" s="55" t="s">
        <v>50</v>
      </c>
      <c r="F29" s="51">
        <v>18121.809207999999</v>
      </c>
      <c r="G29" s="19">
        <f t="shared" si="3"/>
        <v>17</v>
      </c>
      <c r="H29" s="20">
        <f t="shared" si="2"/>
        <v>8.0182977256032101E-2</v>
      </c>
      <c r="I29" s="50"/>
      <c r="J29" s="50"/>
      <c r="K29" s="50"/>
      <c r="L29" s="50"/>
      <c r="M29" s="50"/>
      <c r="N29" s="50"/>
    </row>
    <row r="30" spans="2:14" x14ac:dyDescent="0.2">
      <c r="B30" s="57">
        <v>19701.537110000001</v>
      </c>
      <c r="C30" s="19" t="s">
        <v>7</v>
      </c>
      <c r="D30" s="8" t="s">
        <v>48</v>
      </c>
      <c r="E30" s="55" t="s">
        <v>51</v>
      </c>
      <c r="F30" s="51">
        <v>18095.232638000001</v>
      </c>
      <c r="G30" s="19">
        <f t="shared" si="3"/>
        <v>18</v>
      </c>
      <c r="H30" s="20">
        <f t="shared" si="2"/>
        <v>8.1531936469296115E-2</v>
      </c>
      <c r="I30" s="50"/>
      <c r="J30" s="50"/>
      <c r="K30" s="50"/>
      <c r="L30" s="50"/>
      <c r="M30" s="50"/>
      <c r="N30" s="50"/>
    </row>
    <row r="31" spans="2:14" x14ac:dyDescent="0.2">
      <c r="B31" s="57">
        <v>19701.537110000001</v>
      </c>
      <c r="C31" s="19" t="s">
        <v>7</v>
      </c>
      <c r="D31" s="8" t="s">
        <v>70</v>
      </c>
      <c r="E31" s="55" t="s">
        <v>53</v>
      </c>
      <c r="F31" s="51">
        <v>19071.358015999998</v>
      </c>
      <c r="G31" s="19">
        <f t="shared" si="3"/>
        <v>14</v>
      </c>
      <c r="H31" s="20">
        <f t="shared" si="2"/>
        <v>3.1986290738712966E-2</v>
      </c>
      <c r="I31" s="50"/>
      <c r="J31" s="50"/>
      <c r="K31" s="50"/>
      <c r="L31" s="50"/>
      <c r="M31" s="50"/>
      <c r="N31" s="50"/>
    </row>
    <row r="32" spans="2:14" x14ac:dyDescent="0.2">
      <c r="B32" s="57">
        <v>19701.537110000001</v>
      </c>
      <c r="C32" s="19" t="s">
        <v>7</v>
      </c>
      <c r="D32" s="8" t="s">
        <v>71</v>
      </c>
      <c r="E32" s="55" t="s">
        <v>54</v>
      </c>
      <c r="F32" s="51">
        <v>18929.980562000001</v>
      </c>
      <c r="G32" s="19">
        <f t="shared" si="3"/>
        <v>16</v>
      </c>
      <c r="H32" s="20">
        <f t="shared" si="2"/>
        <v>3.9162251335626896E-2</v>
      </c>
      <c r="I32" s="50"/>
      <c r="J32" s="50"/>
      <c r="K32" s="50"/>
      <c r="L32" s="50"/>
      <c r="M32" s="50"/>
      <c r="N32" s="50"/>
    </row>
    <row r="33" spans="2:14" x14ac:dyDescent="0.2">
      <c r="B33" s="57">
        <v>19701.537110000001</v>
      </c>
      <c r="C33" s="19" t="s">
        <v>7</v>
      </c>
      <c r="D33" s="8" t="s">
        <v>72</v>
      </c>
      <c r="E33" s="55" t="s">
        <v>55</v>
      </c>
      <c r="F33" s="51">
        <v>18997.295058</v>
      </c>
      <c r="G33" s="19">
        <f t="shared" si="3"/>
        <v>15</v>
      </c>
      <c r="H33" s="20">
        <f t="shared" si="2"/>
        <v>3.5745538435300359E-2</v>
      </c>
      <c r="I33" s="50"/>
      <c r="J33" s="50"/>
      <c r="K33" s="50"/>
      <c r="L33" s="50"/>
      <c r="M33" s="50"/>
      <c r="N33" s="50"/>
    </row>
    <row r="34" spans="2:14" x14ac:dyDescent="0.2">
      <c r="B34" s="57">
        <v>19701.537110000001</v>
      </c>
      <c r="C34" s="19" t="s">
        <v>7</v>
      </c>
      <c r="D34" s="8" t="s">
        <v>69</v>
      </c>
      <c r="E34" s="55" t="s">
        <v>56</v>
      </c>
      <c r="F34" s="51">
        <v>19083.858246</v>
      </c>
      <c r="G34" s="19">
        <f t="shared" si="3"/>
        <v>13</v>
      </c>
      <c r="H34" s="20">
        <f t="shared" si="2"/>
        <v>3.1351810802949139E-2</v>
      </c>
      <c r="I34" s="50"/>
      <c r="J34" s="50"/>
      <c r="K34" s="50"/>
      <c r="L34" s="50"/>
      <c r="M34" s="50"/>
      <c r="N34" s="50"/>
    </row>
    <row r="35" spans="2:14" x14ac:dyDescent="0.2">
      <c r="B35" s="57">
        <v>19701.537110000001</v>
      </c>
      <c r="C35" s="19" t="s">
        <v>7</v>
      </c>
      <c r="D35" s="8" t="s">
        <v>73</v>
      </c>
      <c r="E35" s="55" t="s">
        <v>57</v>
      </c>
      <c r="F35" s="51">
        <v>19564.693872</v>
      </c>
      <c r="G35" s="19">
        <f t="shared" si="3"/>
        <v>11</v>
      </c>
      <c r="H35" s="20">
        <f t="shared" si="2"/>
        <v>6.945815305473964E-3</v>
      </c>
      <c r="I35" s="50"/>
      <c r="J35" s="50"/>
      <c r="K35" s="50"/>
      <c r="L35" s="50"/>
      <c r="M35" s="50"/>
      <c r="N35" s="50"/>
    </row>
    <row r="36" spans="2:14" x14ac:dyDescent="0.2">
      <c r="B36" s="57">
        <v>19701.537110000001</v>
      </c>
      <c r="C36" s="19" t="s">
        <v>7</v>
      </c>
      <c r="D36" s="8" t="s">
        <v>74</v>
      </c>
      <c r="E36" s="55" t="s">
        <v>58</v>
      </c>
      <c r="F36" s="51">
        <v>19576.830784000002</v>
      </c>
      <c r="G36" s="19">
        <f t="shared" si="3"/>
        <v>9</v>
      </c>
      <c r="H36" s="20">
        <f t="shared" si="2"/>
        <v>6.3297764688980416E-3</v>
      </c>
      <c r="I36" s="50"/>
      <c r="J36" s="50"/>
      <c r="K36" s="50"/>
      <c r="L36" s="50"/>
      <c r="M36" s="50"/>
      <c r="N36" s="50"/>
    </row>
    <row r="37" spans="2:14" x14ac:dyDescent="0.2">
      <c r="B37" s="57">
        <v>19701.537110000001</v>
      </c>
      <c r="C37" s="19" t="s">
        <v>7</v>
      </c>
      <c r="D37" s="8" t="s">
        <v>75</v>
      </c>
      <c r="E37" s="55" t="s">
        <v>59</v>
      </c>
      <c r="F37" s="51">
        <v>19573.856540000001</v>
      </c>
      <c r="G37" s="19">
        <f t="shared" si="3"/>
        <v>10</v>
      </c>
      <c r="H37" s="20">
        <f t="shared" si="2"/>
        <v>6.4807415425059915E-3</v>
      </c>
      <c r="I37" s="50"/>
      <c r="J37" s="50"/>
      <c r="K37" s="50"/>
      <c r="L37" s="50"/>
      <c r="M37" s="50"/>
      <c r="N37" s="50"/>
    </row>
    <row r="38" spans="2:14" x14ac:dyDescent="0.2">
      <c r="B38" s="57">
        <v>19701.537110000001</v>
      </c>
      <c r="C38" s="19" t="s">
        <v>7</v>
      </c>
      <c r="D38" s="8" t="s">
        <v>76</v>
      </c>
      <c r="E38" s="55" t="s">
        <v>60</v>
      </c>
      <c r="F38" s="51">
        <v>19553.480535999999</v>
      </c>
      <c r="G38" s="19">
        <f t="shared" si="3"/>
        <v>12</v>
      </c>
      <c r="H38" s="20">
        <f t="shared" si="2"/>
        <v>7.5149757693196559E-3</v>
      </c>
      <c r="I38" s="50"/>
      <c r="J38" s="50"/>
      <c r="K38" s="50"/>
      <c r="L38" s="50"/>
      <c r="M38" s="50"/>
      <c r="N38" s="50"/>
    </row>
    <row r="39" spans="2:14" x14ac:dyDescent="0.2">
      <c r="B39" s="57">
        <v>19701.537110000001</v>
      </c>
      <c r="C39" s="19" t="s">
        <v>7</v>
      </c>
      <c r="D39" s="8" t="s">
        <v>77</v>
      </c>
      <c r="E39" s="56" t="s">
        <v>61</v>
      </c>
      <c r="F39" s="51">
        <v>19653.137360000001</v>
      </c>
      <c r="G39" s="19">
        <f t="shared" si="3"/>
        <v>7</v>
      </c>
      <c r="H39" s="20">
        <f t="shared" si="2"/>
        <v>2.4566484193476461E-3</v>
      </c>
      <c r="I39" s="50"/>
      <c r="J39" s="50"/>
      <c r="K39" s="50"/>
      <c r="L39" s="50"/>
      <c r="M39" s="50"/>
      <c r="N39" s="50"/>
    </row>
    <row r="40" spans="2:14" x14ac:dyDescent="0.2">
      <c r="B40" s="57">
        <v>19701.537110000001</v>
      </c>
      <c r="C40" s="19" t="s">
        <v>7</v>
      </c>
      <c r="D40" s="8" t="s">
        <v>78</v>
      </c>
      <c r="E40" s="56" t="s">
        <v>62</v>
      </c>
      <c r="F40" s="51">
        <v>19658.387102000001</v>
      </c>
      <c r="G40" s="19">
        <f t="shared" si="3"/>
        <v>6</v>
      </c>
      <c r="H40" s="20">
        <f t="shared" si="2"/>
        <v>2.1901848449225147E-3</v>
      </c>
      <c r="I40" s="50"/>
      <c r="J40" s="50"/>
      <c r="K40" s="50"/>
      <c r="L40" s="50"/>
      <c r="M40" s="50"/>
      <c r="N40" s="50"/>
    </row>
    <row r="41" spans="2:14" x14ac:dyDescent="0.2">
      <c r="B41" s="57">
        <v>19701.537110000001</v>
      </c>
      <c r="C41" s="19" t="s">
        <v>7</v>
      </c>
      <c r="D41" s="8" t="s">
        <v>79</v>
      </c>
      <c r="E41" s="56" t="s">
        <v>63</v>
      </c>
      <c r="F41" s="51">
        <v>19635.444535999999</v>
      </c>
      <c r="G41" s="19">
        <f t="shared" si="3"/>
        <v>8</v>
      </c>
      <c r="H41" s="20">
        <f t="shared" si="2"/>
        <v>3.3546912421597371E-3</v>
      </c>
      <c r="I41" s="50"/>
      <c r="J41" s="50"/>
      <c r="K41" s="50"/>
      <c r="L41" s="50"/>
      <c r="M41" s="50"/>
      <c r="N41" s="50"/>
    </row>
    <row r="42" spans="2:14" x14ac:dyDescent="0.2">
      <c r="B42" s="57">
        <v>19701.537110000001</v>
      </c>
      <c r="C42" s="19" t="s">
        <v>7</v>
      </c>
      <c r="D42" s="8" t="s">
        <v>80</v>
      </c>
      <c r="E42" s="56" t="s">
        <v>64</v>
      </c>
      <c r="F42" s="51">
        <v>19659.094978000001</v>
      </c>
      <c r="G42" s="19">
        <f t="shared" si="3"/>
        <v>5</v>
      </c>
      <c r="H42" s="20">
        <f t="shared" si="2"/>
        <v>2.1542548565135853E-3</v>
      </c>
      <c r="I42" s="50"/>
      <c r="J42" s="50"/>
      <c r="K42" s="50"/>
      <c r="L42" s="50"/>
      <c r="M42" s="50"/>
      <c r="N42" s="50"/>
    </row>
    <row r="43" spans="2:14" x14ac:dyDescent="0.2">
      <c r="B43" s="57">
        <v>19701.537110000001</v>
      </c>
      <c r="C43" s="19" t="s">
        <v>7</v>
      </c>
      <c r="D43" s="8" t="s">
        <v>81</v>
      </c>
      <c r="E43" s="56" t="s">
        <v>65</v>
      </c>
      <c r="F43" s="51">
        <v>19684.505445999999</v>
      </c>
      <c r="G43" s="19">
        <f t="shared" si="3"/>
        <v>2</v>
      </c>
      <c r="H43" s="20">
        <f t="shared" si="2"/>
        <v>8.6448401994771611E-4</v>
      </c>
      <c r="I43" s="50"/>
      <c r="J43" s="50"/>
      <c r="K43" s="50"/>
      <c r="L43" s="50"/>
      <c r="M43" s="50"/>
      <c r="N43" s="50"/>
    </row>
    <row r="44" spans="2:14" x14ac:dyDescent="0.2">
      <c r="B44" s="57">
        <v>19701.537110000001</v>
      </c>
      <c r="C44" s="19" t="s">
        <v>7</v>
      </c>
      <c r="D44" s="8" t="s">
        <v>82</v>
      </c>
      <c r="E44" s="56" t="s">
        <v>66</v>
      </c>
      <c r="F44" s="51">
        <v>19681.27334</v>
      </c>
      <c r="G44" s="19">
        <f t="shared" si="3"/>
        <v>4</v>
      </c>
      <c r="H44" s="20">
        <f t="shared" si="2"/>
        <v>1.0285375139443313E-3</v>
      </c>
      <c r="I44" s="50"/>
      <c r="J44" s="50"/>
      <c r="K44" s="50"/>
    </row>
    <row r="45" spans="2:14" x14ac:dyDescent="0.2">
      <c r="B45" s="57">
        <v>19701.537110000001</v>
      </c>
      <c r="C45" s="19" t="s">
        <v>7</v>
      </c>
      <c r="D45" s="8" t="s">
        <v>83</v>
      </c>
      <c r="E45" s="56" t="s">
        <v>67</v>
      </c>
      <c r="F45" s="51">
        <v>19683.198056000001</v>
      </c>
      <c r="G45" s="19">
        <f t="shared" si="3"/>
        <v>3</v>
      </c>
      <c r="H45" s="20">
        <f t="shared" si="2"/>
        <v>9.3084381678481285E-4</v>
      </c>
      <c r="I45" s="50"/>
      <c r="J45" s="50"/>
      <c r="K45" s="50"/>
    </row>
    <row r="46" spans="2:14" x14ac:dyDescent="0.2">
      <c r="B46" s="57">
        <v>19701.537110000001</v>
      </c>
      <c r="C46" s="19" t="s">
        <v>7</v>
      </c>
      <c r="D46" s="8" t="s">
        <v>84</v>
      </c>
      <c r="E46" s="56" t="s">
        <v>68</v>
      </c>
      <c r="F46" s="51">
        <v>19685.459286000001</v>
      </c>
      <c r="G46" s="19">
        <f t="shared" si="3"/>
        <v>1</v>
      </c>
      <c r="H46" s="20">
        <f t="shared" si="2"/>
        <v>8.1606952342004157E-4</v>
      </c>
      <c r="I46" s="50"/>
      <c r="J46" s="50"/>
      <c r="K46" s="50"/>
    </row>
    <row r="47" spans="2:14" x14ac:dyDescent="0.2">
      <c r="B47" s="67"/>
      <c r="C47" s="16" t="s">
        <v>2</v>
      </c>
      <c r="D47" s="15" t="s">
        <v>2</v>
      </c>
      <c r="E47" s="47" t="s">
        <v>2</v>
      </c>
      <c r="F47" s="17" t="s">
        <v>2</v>
      </c>
      <c r="G47" s="16" t="s">
        <v>38</v>
      </c>
      <c r="H47" s="38" t="e">
        <f>(B47-F47) / B47</f>
        <v>#VALUE!</v>
      </c>
      <c r="I47" s="50"/>
      <c r="J47" s="50"/>
      <c r="K47" s="50"/>
    </row>
    <row r="48" spans="2:14" x14ac:dyDescent="0.2">
      <c r="B48" s="57">
        <v>333</v>
      </c>
      <c r="C48" s="21" t="s">
        <v>10</v>
      </c>
      <c r="D48" s="8" t="s">
        <v>45</v>
      </c>
      <c r="E48" s="55" t="s">
        <v>49</v>
      </c>
      <c r="F48" s="51">
        <v>295</v>
      </c>
      <c r="G48" s="21">
        <f>_xlfn.RANK.EQ(F48,$F$48:$F$67,0)</f>
        <v>18</v>
      </c>
      <c r="H48" s="20">
        <f t="shared" ref="H48:H109" si="4">(B48-F48) / B48</f>
        <v>0.11411411411411411</v>
      </c>
      <c r="I48" s="49"/>
      <c r="J48" s="49"/>
      <c r="K48" s="49"/>
    </row>
    <row r="49" spans="2:11" x14ac:dyDescent="0.2">
      <c r="B49" s="57">
        <v>333</v>
      </c>
      <c r="C49" s="21" t="s">
        <v>10</v>
      </c>
      <c r="D49" s="8" t="s">
        <v>46</v>
      </c>
      <c r="E49" s="55" t="s">
        <v>52</v>
      </c>
      <c r="F49" s="51">
        <v>292.60000000000002</v>
      </c>
      <c r="G49" s="21">
        <f t="shared" ref="G49:G67" si="5">_xlfn.RANK.EQ(F49,$F$48:$F$67,0)</f>
        <v>20</v>
      </c>
      <c r="H49" s="20">
        <f>(B49-F49) / B49</f>
        <v>0.12132132132132126</v>
      </c>
      <c r="I49" s="50"/>
      <c r="J49" s="50"/>
      <c r="K49" s="50"/>
    </row>
    <row r="50" spans="2:11" x14ac:dyDescent="0.2">
      <c r="B50" s="57">
        <v>333</v>
      </c>
      <c r="C50" s="21" t="s">
        <v>10</v>
      </c>
      <c r="D50" s="8" t="s">
        <v>47</v>
      </c>
      <c r="E50" s="55" t="s">
        <v>50</v>
      </c>
      <c r="F50" s="51">
        <v>294.2</v>
      </c>
      <c r="G50" s="21">
        <f t="shared" si="5"/>
        <v>19</v>
      </c>
      <c r="H50" s="20">
        <f>(B50-F50) / B50</f>
        <v>0.11651651651651655</v>
      </c>
      <c r="I50" s="50"/>
      <c r="J50" s="50"/>
      <c r="K50" s="50"/>
    </row>
    <row r="51" spans="2:11" x14ac:dyDescent="0.2">
      <c r="B51" s="57">
        <v>333</v>
      </c>
      <c r="C51" s="21" t="s">
        <v>10</v>
      </c>
      <c r="D51" s="8" t="s">
        <v>48</v>
      </c>
      <c r="E51" s="55" t="s">
        <v>51</v>
      </c>
      <c r="F51" s="51">
        <v>299.2</v>
      </c>
      <c r="G51" s="21">
        <f t="shared" si="5"/>
        <v>17</v>
      </c>
      <c r="H51" s="20">
        <f t="shared" si="4"/>
        <v>0.10150150150150153</v>
      </c>
      <c r="I51" s="50"/>
      <c r="J51" s="50"/>
      <c r="K51" s="50"/>
    </row>
    <row r="52" spans="2:11" x14ac:dyDescent="0.2">
      <c r="B52" s="57">
        <v>333</v>
      </c>
      <c r="C52" s="21" t="s">
        <v>10</v>
      </c>
      <c r="D52" s="8" t="s">
        <v>70</v>
      </c>
      <c r="E52" s="55" t="s">
        <v>53</v>
      </c>
      <c r="F52" s="51">
        <v>307.39999999999998</v>
      </c>
      <c r="G52" s="21">
        <f t="shared" si="5"/>
        <v>13</v>
      </c>
      <c r="H52" s="20">
        <f t="shared" si="4"/>
        <v>7.6876876876876943E-2</v>
      </c>
      <c r="I52" s="50"/>
      <c r="J52" s="50"/>
      <c r="K52" s="50"/>
    </row>
    <row r="53" spans="2:11" x14ac:dyDescent="0.2">
      <c r="B53" s="57">
        <v>333</v>
      </c>
      <c r="C53" s="21" t="s">
        <v>10</v>
      </c>
      <c r="D53" s="8" t="s">
        <v>71</v>
      </c>
      <c r="E53" s="55" t="s">
        <v>54</v>
      </c>
      <c r="F53" s="51">
        <v>306.2</v>
      </c>
      <c r="G53" s="21">
        <f t="shared" si="5"/>
        <v>15</v>
      </c>
      <c r="H53" s="20">
        <f t="shared" si="4"/>
        <v>8.048048048048051E-2</v>
      </c>
      <c r="I53" s="50"/>
      <c r="J53" s="50"/>
      <c r="K53" s="50"/>
    </row>
    <row r="54" spans="2:11" x14ac:dyDescent="0.2">
      <c r="B54" s="57">
        <v>333</v>
      </c>
      <c r="C54" s="21" t="s">
        <v>10</v>
      </c>
      <c r="D54" s="8" t="s">
        <v>72</v>
      </c>
      <c r="E54" s="55" t="s">
        <v>55</v>
      </c>
      <c r="F54" s="51">
        <v>306.8</v>
      </c>
      <c r="G54" s="21">
        <f t="shared" si="5"/>
        <v>14</v>
      </c>
      <c r="H54" s="20">
        <f t="shared" si="4"/>
        <v>7.8678678678678643E-2</v>
      </c>
      <c r="I54" s="50"/>
      <c r="J54" s="50"/>
      <c r="K54" s="50"/>
    </row>
    <row r="55" spans="2:11" x14ac:dyDescent="0.2">
      <c r="B55" s="57">
        <v>333</v>
      </c>
      <c r="C55" s="21" t="s">
        <v>10</v>
      </c>
      <c r="D55" s="8" t="s">
        <v>69</v>
      </c>
      <c r="E55" s="55" t="s">
        <v>56</v>
      </c>
      <c r="F55" s="51">
        <v>300.60000000000002</v>
      </c>
      <c r="G55" s="21">
        <f t="shared" si="5"/>
        <v>16</v>
      </c>
      <c r="H55" s="20">
        <f t="shared" si="4"/>
        <v>9.7297297297297233E-2</v>
      </c>
      <c r="I55" s="50"/>
      <c r="J55" s="50"/>
      <c r="K55" s="50"/>
    </row>
    <row r="56" spans="2:11" x14ac:dyDescent="0.2">
      <c r="B56" s="57">
        <v>333</v>
      </c>
      <c r="C56" s="21" t="s">
        <v>10</v>
      </c>
      <c r="D56" s="8" t="s">
        <v>73</v>
      </c>
      <c r="E56" s="55" t="s">
        <v>57</v>
      </c>
      <c r="F56" s="51">
        <v>308.8</v>
      </c>
      <c r="G56" s="21">
        <f t="shared" si="5"/>
        <v>12</v>
      </c>
      <c r="H56" s="20">
        <f t="shared" si="4"/>
        <v>7.2672672672672634E-2</v>
      </c>
      <c r="I56" s="50"/>
      <c r="J56" s="50"/>
      <c r="K56" s="50"/>
    </row>
    <row r="57" spans="2:11" x14ac:dyDescent="0.2">
      <c r="B57" s="57">
        <v>333</v>
      </c>
      <c r="C57" s="21" t="s">
        <v>10</v>
      </c>
      <c r="D57" s="8" t="s">
        <v>74</v>
      </c>
      <c r="E57" s="55" t="s">
        <v>58</v>
      </c>
      <c r="F57" s="51">
        <v>315.39999999999998</v>
      </c>
      <c r="G57" s="21">
        <f t="shared" si="5"/>
        <v>7</v>
      </c>
      <c r="H57" s="20">
        <f t="shared" si="4"/>
        <v>5.2852852852852919E-2</v>
      </c>
      <c r="I57" s="50"/>
      <c r="J57" s="50"/>
      <c r="K57" s="50"/>
    </row>
    <row r="58" spans="2:11" x14ac:dyDescent="0.2">
      <c r="B58" s="57">
        <v>333</v>
      </c>
      <c r="C58" s="21" t="s">
        <v>10</v>
      </c>
      <c r="D58" s="8" t="s">
        <v>75</v>
      </c>
      <c r="E58" s="55" t="s">
        <v>59</v>
      </c>
      <c r="F58" s="51">
        <v>322.39999999999998</v>
      </c>
      <c r="G58" s="21">
        <f t="shared" si="5"/>
        <v>1</v>
      </c>
      <c r="H58" s="20">
        <f t="shared" si="4"/>
        <v>3.18318318318319E-2</v>
      </c>
      <c r="I58" s="50"/>
      <c r="J58" s="50"/>
      <c r="K58" s="50"/>
    </row>
    <row r="59" spans="2:11" x14ac:dyDescent="0.2">
      <c r="B59" s="57">
        <v>333</v>
      </c>
      <c r="C59" s="21" t="s">
        <v>10</v>
      </c>
      <c r="D59" s="8" t="s">
        <v>76</v>
      </c>
      <c r="E59" s="55" t="s">
        <v>60</v>
      </c>
      <c r="F59" s="51">
        <v>315.8</v>
      </c>
      <c r="G59" s="21">
        <f t="shared" si="5"/>
        <v>5</v>
      </c>
      <c r="H59" s="20">
        <f t="shared" si="4"/>
        <v>5.1651651651651614E-2</v>
      </c>
      <c r="I59" s="50"/>
      <c r="J59" s="50"/>
      <c r="K59" s="50"/>
    </row>
    <row r="60" spans="2:11" x14ac:dyDescent="0.2">
      <c r="B60" s="57">
        <v>333</v>
      </c>
      <c r="C60" s="21" t="s">
        <v>10</v>
      </c>
      <c r="D60" s="8" t="s">
        <v>77</v>
      </c>
      <c r="E60" s="56" t="s">
        <v>61</v>
      </c>
      <c r="F60" s="51">
        <v>312.39999999999998</v>
      </c>
      <c r="G60" s="21">
        <f t="shared" si="5"/>
        <v>11</v>
      </c>
      <c r="H60" s="20">
        <f t="shared" si="4"/>
        <v>6.1861861861861933E-2</v>
      </c>
      <c r="I60" s="50"/>
      <c r="J60" s="50"/>
      <c r="K60" s="50"/>
    </row>
    <row r="61" spans="2:11" x14ac:dyDescent="0.2">
      <c r="B61" s="57">
        <v>333</v>
      </c>
      <c r="C61" s="21" t="s">
        <v>10</v>
      </c>
      <c r="D61" s="8" t="s">
        <v>78</v>
      </c>
      <c r="E61" s="56" t="s">
        <v>62</v>
      </c>
      <c r="F61" s="51">
        <v>318.60000000000002</v>
      </c>
      <c r="G61" s="21">
        <f t="shared" si="5"/>
        <v>3</v>
      </c>
      <c r="H61" s="20">
        <f t="shared" si="4"/>
        <v>4.3243243243243176E-2</v>
      </c>
      <c r="I61" s="50"/>
      <c r="J61" s="50"/>
      <c r="K61" s="50"/>
    </row>
    <row r="62" spans="2:11" x14ac:dyDescent="0.2">
      <c r="B62" s="57">
        <v>333</v>
      </c>
      <c r="C62" s="21" t="s">
        <v>10</v>
      </c>
      <c r="D62" s="8" t="s">
        <v>79</v>
      </c>
      <c r="E62" s="56" t="s">
        <v>63</v>
      </c>
      <c r="F62" s="51">
        <v>314.2</v>
      </c>
      <c r="G62" s="21">
        <f t="shared" si="5"/>
        <v>9</v>
      </c>
      <c r="H62" s="20">
        <f t="shared" si="4"/>
        <v>5.6456456456456493E-2</v>
      </c>
      <c r="I62" s="50"/>
      <c r="J62" s="50"/>
      <c r="K62" s="50"/>
    </row>
    <row r="63" spans="2:11" x14ac:dyDescent="0.2">
      <c r="B63" s="57">
        <v>333</v>
      </c>
      <c r="C63" s="21" t="s">
        <v>10</v>
      </c>
      <c r="D63" s="8" t="s">
        <v>80</v>
      </c>
      <c r="E63" s="56" t="s">
        <v>64</v>
      </c>
      <c r="F63" s="51">
        <v>321.39999999999998</v>
      </c>
      <c r="G63" s="21">
        <f t="shared" si="5"/>
        <v>2</v>
      </c>
      <c r="H63" s="20">
        <f t="shared" si="4"/>
        <v>3.4834834834834905E-2</v>
      </c>
      <c r="I63" s="50"/>
      <c r="J63" s="50"/>
      <c r="K63" s="50"/>
    </row>
    <row r="64" spans="2:11" x14ac:dyDescent="0.2">
      <c r="B64" s="57">
        <v>333</v>
      </c>
      <c r="C64" s="21" t="s">
        <v>10</v>
      </c>
      <c r="D64" s="8" t="s">
        <v>81</v>
      </c>
      <c r="E64" s="56" t="s">
        <v>65</v>
      </c>
      <c r="F64" s="51">
        <v>315.2</v>
      </c>
      <c r="G64" s="21">
        <f t="shared" si="5"/>
        <v>8</v>
      </c>
      <c r="H64" s="20">
        <f t="shared" si="4"/>
        <v>5.3453453453453488E-2</v>
      </c>
      <c r="I64" s="50"/>
      <c r="J64" s="50"/>
      <c r="K64" s="50"/>
    </row>
    <row r="65" spans="2:12" x14ac:dyDescent="0.2">
      <c r="B65" s="57">
        <v>333</v>
      </c>
      <c r="C65" s="21" t="s">
        <v>10</v>
      </c>
      <c r="D65" s="8" t="s">
        <v>82</v>
      </c>
      <c r="E65" s="56" t="s">
        <v>66</v>
      </c>
      <c r="F65" s="51">
        <v>312.60000000000002</v>
      </c>
      <c r="G65" s="21">
        <f t="shared" si="5"/>
        <v>10</v>
      </c>
      <c r="H65" s="20">
        <f t="shared" si="4"/>
        <v>6.1261261261261191E-2</v>
      </c>
      <c r="I65" s="50"/>
      <c r="J65" s="50"/>
      <c r="K65" s="50"/>
    </row>
    <row r="66" spans="2:12" x14ac:dyDescent="0.2">
      <c r="B66" s="57">
        <v>333</v>
      </c>
      <c r="C66" s="21" t="s">
        <v>10</v>
      </c>
      <c r="D66" s="8" t="s">
        <v>83</v>
      </c>
      <c r="E66" s="56" t="s">
        <v>67</v>
      </c>
      <c r="F66" s="51">
        <v>317.8</v>
      </c>
      <c r="G66" s="21">
        <f t="shared" si="5"/>
        <v>4</v>
      </c>
      <c r="H66" s="20">
        <f t="shared" si="4"/>
        <v>4.5645645645645612E-2</v>
      </c>
      <c r="I66" s="50"/>
      <c r="J66" s="50"/>
      <c r="K66" s="50"/>
    </row>
    <row r="67" spans="2:12" x14ac:dyDescent="0.2">
      <c r="B67" s="57">
        <v>333</v>
      </c>
      <c r="C67" s="21" t="s">
        <v>10</v>
      </c>
      <c r="D67" s="8" t="s">
        <v>84</v>
      </c>
      <c r="E67" s="56" t="s">
        <v>68</v>
      </c>
      <c r="F67" s="51">
        <v>315.8</v>
      </c>
      <c r="G67" s="21">
        <f t="shared" si="5"/>
        <v>5</v>
      </c>
      <c r="H67" s="20">
        <f t="shared" si="4"/>
        <v>5.1651651651651614E-2</v>
      </c>
      <c r="I67" s="50"/>
      <c r="J67" s="50"/>
      <c r="K67" s="50"/>
    </row>
    <row r="68" spans="2:12" x14ac:dyDescent="0.2">
      <c r="B68" s="67"/>
      <c r="C68" s="16" t="s">
        <v>2</v>
      </c>
      <c r="D68" s="15" t="s">
        <v>2</v>
      </c>
      <c r="E68" s="47" t="s">
        <v>2</v>
      </c>
      <c r="F68" s="17" t="s">
        <v>2</v>
      </c>
      <c r="G68" s="16" t="s">
        <v>38</v>
      </c>
      <c r="H68" s="38" t="e">
        <f>(B68-F68) / B68</f>
        <v>#VALUE!</v>
      </c>
      <c r="I68" s="49"/>
      <c r="J68" s="49"/>
      <c r="K68" s="49"/>
      <c r="L68" s="49"/>
    </row>
    <row r="69" spans="2:12" x14ac:dyDescent="0.2">
      <c r="B69" s="57">
        <v>1195</v>
      </c>
      <c r="C69" s="54" t="s">
        <v>11</v>
      </c>
      <c r="D69" s="8" t="s">
        <v>45</v>
      </c>
      <c r="E69" s="55" t="s">
        <v>49</v>
      </c>
      <c r="F69" s="51">
        <v>1075.2</v>
      </c>
      <c r="G69" s="21">
        <f>_xlfn.RANK.EQ(F69,$F$69:$F$88,0)</f>
        <v>19</v>
      </c>
      <c r="H69" s="20">
        <f t="shared" si="4"/>
        <v>0.10025104602510457</v>
      </c>
      <c r="I69" s="50"/>
      <c r="J69" s="50"/>
      <c r="K69" s="50"/>
      <c r="L69" s="50"/>
    </row>
    <row r="70" spans="2:12" x14ac:dyDescent="0.2">
      <c r="B70" s="57">
        <v>1195</v>
      </c>
      <c r="C70" s="54" t="s">
        <v>11</v>
      </c>
      <c r="D70" s="8" t="s">
        <v>46</v>
      </c>
      <c r="E70" s="55" t="s">
        <v>52</v>
      </c>
      <c r="F70" s="51">
        <v>1066.4000000000001</v>
      </c>
      <c r="G70" s="21">
        <f t="shared" ref="G70:G88" si="6">_xlfn.RANK.EQ(F70,$F$69:$F$88,0)</f>
        <v>20</v>
      </c>
      <c r="H70" s="20">
        <f t="shared" si="4"/>
        <v>0.1076150627615062</v>
      </c>
      <c r="I70" s="50"/>
      <c r="J70" s="50"/>
      <c r="K70" s="50"/>
      <c r="L70" s="50"/>
    </row>
    <row r="71" spans="2:12" x14ac:dyDescent="0.2">
      <c r="B71" s="57">
        <v>1195</v>
      </c>
      <c r="C71" s="54" t="s">
        <v>11</v>
      </c>
      <c r="D71" s="8" t="s">
        <v>47</v>
      </c>
      <c r="E71" s="55" t="s">
        <v>50</v>
      </c>
      <c r="F71" s="51">
        <v>1078.2</v>
      </c>
      <c r="G71" s="21">
        <f t="shared" si="6"/>
        <v>18</v>
      </c>
      <c r="H71" s="20">
        <f t="shared" si="4"/>
        <v>9.7740585774058544E-2</v>
      </c>
      <c r="I71" s="50"/>
      <c r="J71" s="50"/>
      <c r="K71" s="50"/>
      <c r="L71" s="50"/>
    </row>
    <row r="72" spans="2:12" x14ac:dyDescent="0.2">
      <c r="B72" s="57">
        <v>1195</v>
      </c>
      <c r="C72" s="54" t="s">
        <v>11</v>
      </c>
      <c r="D72" s="8" t="s">
        <v>48</v>
      </c>
      <c r="E72" s="55" t="s">
        <v>51</v>
      </c>
      <c r="F72" s="51">
        <v>1081.2</v>
      </c>
      <c r="G72" s="21">
        <f t="shared" si="6"/>
        <v>17</v>
      </c>
      <c r="H72" s="20">
        <f t="shared" si="4"/>
        <v>9.5230125523012521E-2</v>
      </c>
      <c r="I72" s="50"/>
      <c r="J72" s="50"/>
      <c r="K72" s="50"/>
      <c r="L72" s="50"/>
    </row>
    <row r="73" spans="2:12" x14ac:dyDescent="0.2">
      <c r="B73" s="57">
        <v>1195</v>
      </c>
      <c r="C73" s="54" t="s">
        <v>11</v>
      </c>
      <c r="D73" s="8" t="s">
        <v>70</v>
      </c>
      <c r="E73" s="55" t="s">
        <v>53</v>
      </c>
      <c r="F73" s="51">
        <v>1122.5999999999999</v>
      </c>
      <c r="G73" s="21">
        <f t="shared" si="6"/>
        <v>16</v>
      </c>
      <c r="H73" s="20">
        <f t="shared" si="4"/>
        <v>6.0585774058577485E-2</v>
      </c>
      <c r="I73" s="50"/>
      <c r="J73" s="50"/>
      <c r="K73" s="50"/>
      <c r="L73" s="50"/>
    </row>
    <row r="74" spans="2:12" x14ac:dyDescent="0.2">
      <c r="B74" s="57">
        <v>1195</v>
      </c>
      <c r="C74" s="54" t="s">
        <v>11</v>
      </c>
      <c r="D74" s="8" t="s">
        <v>71</v>
      </c>
      <c r="E74" s="55" t="s">
        <v>54</v>
      </c>
      <c r="F74" s="51">
        <v>1142.4000000000001</v>
      </c>
      <c r="G74" s="21">
        <f t="shared" si="6"/>
        <v>14</v>
      </c>
      <c r="H74" s="20">
        <f t="shared" si="4"/>
        <v>4.4016736401673563E-2</v>
      </c>
      <c r="I74" s="50"/>
      <c r="J74" s="50"/>
      <c r="K74" s="50"/>
      <c r="L74" s="50"/>
    </row>
    <row r="75" spans="2:12" x14ac:dyDescent="0.2">
      <c r="B75" s="57">
        <v>1195</v>
      </c>
      <c r="C75" s="54" t="s">
        <v>11</v>
      </c>
      <c r="D75" s="8" t="s">
        <v>72</v>
      </c>
      <c r="E75" s="55" t="s">
        <v>55</v>
      </c>
      <c r="F75" s="51">
        <v>1144.8</v>
      </c>
      <c r="G75" s="21">
        <f t="shared" si="6"/>
        <v>13</v>
      </c>
      <c r="H75" s="20">
        <f t="shared" si="4"/>
        <v>4.2008368200836858E-2</v>
      </c>
      <c r="I75" s="50"/>
      <c r="J75" s="50"/>
      <c r="K75" s="50"/>
      <c r="L75" s="50"/>
    </row>
    <row r="76" spans="2:12" x14ac:dyDescent="0.2">
      <c r="B76" s="57">
        <v>1195</v>
      </c>
      <c r="C76" s="54" t="s">
        <v>11</v>
      </c>
      <c r="D76" s="8" t="s">
        <v>69</v>
      </c>
      <c r="E76" s="55" t="s">
        <v>56</v>
      </c>
      <c r="F76" s="51">
        <v>1132.2</v>
      </c>
      <c r="G76" s="21">
        <f t="shared" si="6"/>
        <v>15</v>
      </c>
      <c r="H76" s="20">
        <f t="shared" si="4"/>
        <v>5.255230125523009E-2</v>
      </c>
      <c r="I76" s="50"/>
      <c r="J76" s="50"/>
      <c r="K76" s="50"/>
      <c r="L76" s="50"/>
    </row>
    <row r="77" spans="2:12" x14ac:dyDescent="0.2">
      <c r="B77" s="57">
        <v>1195</v>
      </c>
      <c r="C77" s="54" t="s">
        <v>11</v>
      </c>
      <c r="D77" s="8" t="s">
        <v>73</v>
      </c>
      <c r="E77" s="55" t="s">
        <v>57</v>
      </c>
      <c r="F77" s="51">
        <v>1157</v>
      </c>
      <c r="G77" s="21">
        <f t="shared" si="6"/>
        <v>12</v>
      </c>
      <c r="H77" s="20">
        <f t="shared" si="4"/>
        <v>3.1799163179916316E-2</v>
      </c>
      <c r="I77" s="50"/>
      <c r="J77" s="50"/>
      <c r="K77" s="50"/>
      <c r="L77" s="50"/>
    </row>
    <row r="78" spans="2:12" x14ac:dyDescent="0.2">
      <c r="B78" s="57">
        <v>1195</v>
      </c>
      <c r="C78" s="54" t="s">
        <v>11</v>
      </c>
      <c r="D78" s="8" t="s">
        <v>74</v>
      </c>
      <c r="E78" s="55" t="s">
        <v>58</v>
      </c>
      <c r="F78" s="51">
        <v>1164.4000000000001</v>
      </c>
      <c r="G78" s="21">
        <f t="shared" si="6"/>
        <v>10</v>
      </c>
      <c r="H78" s="20">
        <f t="shared" si="4"/>
        <v>2.5606694560669378E-2</v>
      </c>
      <c r="I78" s="50"/>
      <c r="J78" s="50"/>
      <c r="K78" s="50"/>
      <c r="L78" s="50"/>
    </row>
    <row r="79" spans="2:12" x14ac:dyDescent="0.2">
      <c r="B79" s="57">
        <v>1195</v>
      </c>
      <c r="C79" s="54" t="s">
        <v>11</v>
      </c>
      <c r="D79" s="8" t="s">
        <v>75</v>
      </c>
      <c r="E79" s="55" t="s">
        <v>59</v>
      </c>
      <c r="F79" s="51">
        <v>1161</v>
      </c>
      <c r="G79" s="21">
        <f t="shared" si="6"/>
        <v>11</v>
      </c>
      <c r="H79" s="20">
        <f t="shared" si="4"/>
        <v>2.8451882845188285E-2</v>
      </c>
      <c r="I79" s="50"/>
      <c r="J79" s="50"/>
      <c r="K79" s="50"/>
      <c r="L79" s="50"/>
    </row>
    <row r="80" spans="2:12" x14ac:dyDescent="0.2">
      <c r="B80" s="57">
        <v>1195</v>
      </c>
      <c r="C80" s="54" t="s">
        <v>11</v>
      </c>
      <c r="D80" s="8" t="s">
        <v>76</v>
      </c>
      <c r="E80" s="55" t="s">
        <v>60</v>
      </c>
      <c r="F80" s="51">
        <v>1169.2</v>
      </c>
      <c r="G80" s="21">
        <f t="shared" si="6"/>
        <v>4</v>
      </c>
      <c r="H80" s="20">
        <f t="shared" si="4"/>
        <v>2.1589958158995778E-2</v>
      </c>
      <c r="I80" s="50"/>
      <c r="J80" s="50"/>
      <c r="K80" s="50"/>
      <c r="L80" s="50"/>
    </row>
    <row r="81" spans="2:12" x14ac:dyDescent="0.2">
      <c r="B81" s="57">
        <v>1195</v>
      </c>
      <c r="C81" s="54" t="s">
        <v>11</v>
      </c>
      <c r="D81" s="8" t="s">
        <v>77</v>
      </c>
      <c r="E81" s="56" t="s">
        <v>61</v>
      </c>
      <c r="F81" s="51">
        <v>1166.4000000000001</v>
      </c>
      <c r="G81" s="21">
        <f t="shared" si="6"/>
        <v>7</v>
      </c>
      <c r="H81" s="20">
        <f t="shared" si="4"/>
        <v>2.3933054393305363E-2</v>
      </c>
      <c r="I81" s="50"/>
      <c r="J81" s="50"/>
      <c r="K81" s="50"/>
      <c r="L81" s="50"/>
    </row>
    <row r="82" spans="2:12" x14ac:dyDescent="0.2">
      <c r="B82" s="57">
        <v>1195</v>
      </c>
      <c r="C82" s="54" t="s">
        <v>11</v>
      </c>
      <c r="D82" s="8" t="s">
        <v>78</v>
      </c>
      <c r="E82" s="56" t="s">
        <v>62</v>
      </c>
      <c r="F82" s="52">
        <v>1174.5999999999999</v>
      </c>
      <c r="G82" s="21">
        <f t="shared" si="6"/>
        <v>1</v>
      </c>
      <c r="H82" s="20">
        <f t="shared" si="4"/>
        <v>1.7071129707113046E-2</v>
      </c>
      <c r="I82" s="49"/>
      <c r="J82" s="49"/>
      <c r="K82" s="49"/>
      <c r="L82" s="49"/>
    </row>
    <row r="83" spans="2:12" x14ac:dyDescent="0.2">
      <c r="B83" s="57">
        <v>1195</v>
      </c>
      <c r="C83" s="54" t="s">
        <v>11</v>
      </c>
      <c r="D83" s="8" t="s">
        <v>79</v>
      </c>
      <c r="E83" s="56" t="s">
        <v>63</v>
      </c>
      <c r="F83" s="51">
        <v>1169.2</v>
      </c>
      <c r="G83" s="21">
        <f t="shared" si="6"/>
        <v>4</v>
      </c>
      <c r="H83" s="20">
        <f t="shared" si="4"/>
        <v>2.1589958158995778E-2</v>
      </c>
      <c r="I83" s="50"/>
      <c r="J83" s="50"/>
      <c r="K83" s="50"/>
      <c r="L83" s="50"/>
    </row>
    <row r="84" spans="2:12" x14ac:dyDescent="0.2">
      <c r="B84" s="57">
        <v>1195</v>
      </c>
      <c r="C84" s="54" t="s">
        <v>11</v>
      </c>
      <c r="D84" s="8" t="s">
        <v>80</v>
      </c>
      <c r="E84" s="56" t="s">
        <v>64</v>
      </c>
      <c r="F84" s="51">
        <v>1165</v>
      </c>
      <c r="G84" s="21">
        <f t="shared" si="6"/>
        <v>9</v>
      </c>
      <c r="H84" s="20">
        <f t="shared" si="4"/>
        <v>2.5104602510460251E-2</v>
      </c>
      <c r="I84" s="50"/>
      <c r="J84" s="50"/>
      <c r="K84" s="50"/>
      <c r="L84" s="50"/>
    </row>
    <row r="85" spans="2:12" x14ac:dyDescent="0.2">
      <c r="B85" s="57">
        <v>1195</v>
      </c>
      <c r="C85" s="54" t="s">
        <v>11</v>
      </c>
      <c r="D85" s="8" t="s">
        <v>81</v>
      </c>
      <c r="E85" s="56" t="s">
        <v>65</v>
      </c>
      <c r="F85" s="51">
        <v>1166.4000000000001</v>
      </c>
      <c r="G85" s="21">
        <f t="shared" si="6"/>
        <v>7</v>
      </c>
      <c r="H85" s="20">
        <f t="shared" si="4"/>
        <v>2.3933054393305363E-2</v>
      </c>
      <c r="I85" s="50"/>
      <c r="J85" s="50"/>
      <c r="K85" s="50"/>
      <c r="L85" s="50"/>
    </row>
    <row r="86" spans="2:12" x14ac:dyDescent="0.2">
      <c r="B86" s="57">
        <v>1195</v>
      </c>
      <c r="C86" s="54" t="s">
        <v>11</v>
      </c>
      <c r="D86" s="8" t="s">
        <v>82</v>
      </c>
      <c r="E86" s="56" t="s">
        <v>66</v>
      </c>
      <c r="F86" s="51">
        <v>1172.2</v>
      </c>
      <c r="G86" s="21">
        <f t="shared" si="6"/>
        <v>3</v>
      </c>
      <c r="H86" s="20">
        <f t="shared" si="4"/>
        <v>1.9079497907949754E-2</v>
      </c>
      <c r="I86" s="50"/>
      <c r="J86" s="50"/>
      <c r="K86" s="50"/>
      <c r="L86" s="50"/>
    </row>
    <row r="87" spans="2:12" x14ac:dyDescent="0.2">
      <c r="B87" s="57">
        <v>1195</v>
      </c>
      <c r="C87" s="54" t="s">
        <v>11</v>
      </c>
      <c r="D87" s="8" t="s">
        <v>83</v>
      </c>
      <c r="E87" s="56" t="s">
        <v>67</v>
      </c>
      <c r="F87" s="51">
        <v>1166.8</v>
      </c>
      <c r="G87" s="21">
        <f t="shared" si="6"/>
        <v>6</v>
      </c>
      <c r="H87" s="20">
        <f t="shared" si="4"/>
        <v>2.3598326359832673E-2</v>
      </c>
      <c r="I87" s="50"/>
      <c r="J87" s="50"/>
      <c r="K87" s="50"/>
      <c r="L87" s="50"/>
    </row>
    <row r="88" spans="2:12" x14ac:dyDescent="0.2">
      <c r="B88" s="57">
        <v>1195</v>
      </c>
      <c r="C88" s="54" t="s">
        <v>11</v>
      </c>
      <c r="D88" s="8" t="s">
        <v>84</v>
      </c>
      <c r="E88" s="56" t="s">
        <v>68</v>
      </c>
      <c r="F88" s="51">
        <v>1172.4000000000001</v>
      </c>
      <c r="G88" s="21">
        <f t="shared" si="6"/>
        <v>2</v>
      </c>
      <c r="H88" s="20">
        <f t="shared" si="4"/>
        <v>1.8912133891213313E-2</v>
      </c>
      <c r="I88" s="50"/>
      <c r="J88" s="50"/>
      <c r="K88" s="50"/>
      <c r="L88" s="50"/>
    </row>
    <row r="89" spans="2:12" x14ac:dyDescent="0.2">
      <c r="B89" s="67"/>
      <c r="C89" s="16" t="s">
        <v>2</v>
      </c>
      <c r="D89" s="15" t="s">
        <v>2</v>
      </c>
      <c r="E89" s="47" t="s">
        <v>2</v>
      </c>
      <c r="F89" s="17" t="s">
        <v>2</v>
      </c>
      <c r="G89" s="16" t="s">
        <v>38</v>
      </c>
      <c r="H89" s="38" t="e">
        <f>(B89-F89) / B89</f>
        <v>#VALUE!</v>
      </c>
      <c r="I89" s="49"/>
      <c r="J89" s="49"/>
      <c r="K89" s="49"/>
      <c r="L89" s="49"/>
    </row>
    <row r="90" spans="2:12" x14ac:dyDescent="0.2">
      <c r="B90" s="57">
        <v>7833.8325199999999</v>
      </c>
      <c r="C90" s="28" t="s">
        <v>16</v>
      </c>
      <c r="D90" s="8" t="s">
        <v>45</v>
      </c>
      <c r="E90" s="55" t="s">
        <v>49</v>
      </c>
      <c r="F90" s="51">
        <v>6746.5919999999996</v>
      </c>
      <c r="G90" s="21">
        <f>_xlfn.RANK.EQ(F90,$F$90:$F$109,0)</f>
        <v>19</v>
      </c>
      <c r="H90" s="20">
        <f t="shared" si="4"/>
        <v>0.13878781774109211</v>
      </c>
      <c r="I90" s="50"/>
      <c r="J90" s="50"/>
      <c r="K90" s="50"/>
      <c r="L90" s="50"/>
    </row>
    <row r="91" spans="2:12" x14ac:dyDescent="0.2">
      <c r="B91" s="57">
        <v>7833.8325199999999</v>
      </c>
      <c r="C91" s="28" t="s">
        <v>16</v>
      </c>
      <c r="D91" s="8" t="s">
        <v>46</v>
      </c>
      <c r="E91" s="55" t="s">
        <v>52</v>
      </c>
      <c r="F91" s="51">
        <v>6840.2420000000002</v>
      </c>
      <c r="G91" s="21">
        <f t="shared" ref="G91:G109" si="7">_xlfn.RANK.EQ(F91,$F$90:$F$109,0)</f>
        <v>18</v>
      </c>
      <c r="H91" s="20">
        <f t="shared" si="4"/>
        <v>0.12683326040776779</v>
      </c>
      <c r="I91" s="50"/>
      <c r="J91" s="50"/>
      <c r="K91" s="50"/>
      <c r="L91" s="50"/>
    </row>
    <row r="92" spans="2:12" x14ac:dyDescent="0.2">
      <c r="B92" s="57">
        <v>7833.8325199999999</v>
      </c>
      <c r="C92" s="28" t="s">
        <v>16</v>
      </c>
      <c r="D92" s="8" t="s">
        <v>47</v>
      </c>
      <c r="E92" s="55" t="s">
        <v>50</v>
      </c>
      <c r="F92" s="51">
        <v>6851.0460000000003</v>
      </c>
      <c r="G92" s="21">
        <f t="shared" si="7"/>
        <v>17</v>
      </c>
      <c r="H92" s="20">
        <f t="shared" si="4"/>
        <v>0.12545411425262379</v>
      </c>
      <c r="I92" s="50"/>
      <c r="J92" s="50"/>
      <c r="K92" s="50"/>
      <c r="L92" s="50"/>
    </row>
    <row r="93" spans="2:12" x14ac:dyDescent="0.2">
      <c r="B93" s="57">
        <v>7833.8325199999999</v>
      </c>
      <c r="C93" s="28" t="s">
        <v>16</v>
      </c>
      <c r="D93" s="8" t="s">
        <v>48</v>
      </c>
      <c r="E93" s="55" t="s">
        <v>51</v>
      </c>
      <c r="F93" s="51">
        <v>6734.0519999999997</v>
      </c>
      <c r="G93" s="21">
        <f t="shared" si="7"/>
        <v>20</v>
      </c>
      <c r="H93" s="20">
        <f t="shared" si="4"/>
        <v>0.14038856679565576</v>
      </c>
      <c r="I93" s="50"/>
      <c r="J93" s="50"/>
      <c r="K93" s="50"/>
      <c r="L93" s="50"/>
    </row>
    <row r="94" spans="2:12" x14ac:dyDescent="0.2">
      <c r="B94" s="57">
        <v>7833.8325199999999</v>
      </c>
      <c r="C94" s="28" t="s">
        <v>16</v>
      </c>
      <c r="D94" s="8" t="s">
        <v>70</v>
      </c>
      <c r="E94" s="55" t="s">
        <v>53</v>
      </c>
      <c r="F94" s="51">
        <v>7160.0020000000004</v>
      </c>
      <c r="G94" s="21">
        <f t="shared" si="7"/>
        <v>15</v>
      </c>
      <c r="H94" s="20">
        <f t="shared" si="4"/>
        <v>8.6015436030792189E-2</v>
      </c>
      <c r="I94" s="50"/>
      <c r="J94" s="50"/>
      <c r="K94" s="50"/>
      <c r="L94" s="50"/>
    </row>
    <row r="95" spans="2:12" x14ac:dyDescent="0.2">
      <c r="B95" s="57">
        <v>7833.8325199999999</v>
      </c>
      <c r="C95" s="28" t="s">
        <v>16</v>
      </c>
      <c r="D95" s="8" t="s">
        <v>71</v>
      </c>
      <c r="E95" s="55" t="s">
        <v>54</v>
      </c>
      <c r="F95" s="51">
        <v>7220.77</v>
      </c>
      <c r="G95" s="21">
        <f t="shared" si="7"/>
        <v>13</v>
      </c>
      <c r="H95" s="20">
        <f t="shared" si="4"/>
        <v>7.8258313339586119E-2</v>
      </c>
      <c r="I95" s="50"/>
      <c r="J95" s="50"/>
      <c r="K95" s="50"/>
      <c r="L95" s="50"/>
    </row>
    <row r="96" spans="2:12" x14ac:dyDescent="0.2">
      <c r="B96" s="57">
        <v>7833.8325199999999</v>
      </c>
      <c r="C96" s="28" t="s">
        <v>16</v>
      </c>
      <c r="D96" s="8" t="s">
        <v>72</v>
      </c>
      <c r="E96" s="55" t="s">
        <v>55</v>
      </c>
      <c r="F96" s="51">
        <v>7133.9979999999996</v>
      </c>
      <c r="G96" s="21">
        <f t="shared" si="7"/>
        <v>16</v>
      </c>
      <c r="H96" s="20">
        <f t="shared" si="4"/>
        <v>8.933488407025586E-2</v>
      </c>
      <c r="I96" s="50"/>
      <c r="J96" s="50"/>
      <c r="K96" s="50"/>
      <c r="L96" s="50"/>
    </row>
    <row r="97" spans="2:12" x14ac:dyDescent="0.2">
      <c r="B97" s="57">
        <v>7833.8325199999999</v>
      </c>
      <c r="C97" s="28" t="s">
        <v>16</v>
      </c>
      <c r="D97" s="8" t="s">
        <v>69</v>
      </c>
      <c r="E97" s="55" t="s">
        <v>56</v>
      </c>
      <c r="F97" s="51">
        <v>7183.018</v>
      </c>
      <c r="G97" s="21">
        <f t="shared" si="7"/>
        <v>14</v>
      </c>
      <c r="H97" s="20">
        <f t="shared" si="4"/>
        <v>8.3077410493325163E-2</v>
      </c>
      <c r="I97" s="50"/>
      <c r="J97" s="50"/>
      <c r="K97" s="50"/>
      <c r="L97" s="50"/>
    </row>
    <row r="98" spans="2:12" x14ac:dyDescent="0.2">
      <c r="B98" s="57">
        <v>7833.8325199999999</v>
      </c>
      <c r="C98" s="28" t="s">
        <v>16</v>
      </c>
      <c r="D98" s="8" t="s">
        <v>73</v>
      </c>
      <c r="E98" s="55" t="s">
        <v>57</v>
      </c>
      <c r="F98" s="51">
        <v>7413.5320000000002</v>
      </c>
      <c r="G98" s="21">
        <f t="shared" si="7"/>
        <v>10</v>
      </c>
      <c r="H98" s="20">
        <f t="shared" si="4"/>
        <v>5.365196650898018E-2</v>
      </c>
      <c r="I98" s="50"/>
      <c r="J98" s="50"/>
      <c r="K98" s="50"/>
      <c r="L98" s="50"/>
    </row>
    <row r="99" spans="2:12" x14ac:dyDescent="0.2">
      <c r="B99" s="57">
        <v>7833.8325199999999</v>
      </c>
      <c r="C99" s="28" t="s">
        <v>16</v>
      </c>
      <c r="D99" s="8" t="s">
        <v>74</v>
      </c>
      <c r="E99" s="55" t="s">
        <v>58</v>
      </c>
      <c r="F99" s="51">
        <v>7403.25</v>
      </c>
      <c r="G99" s="21">
        <f t="shared" si="7"/>
        <v>12</v>
      </c>
      <c r="H99" s="20">
        <f t="shared" si="4"/>
        <v>5.4964478612570589E-2</v>
      </c>
      <c r="I99" s="50"/>
      <c r="J99" s="50"/>
      <c r="K99" s="50"/>
      <c r="L99" s="50"/>
    </row>
    <row r="100" spans="2:12" x14ac:dyDescent="0.2">
      <c r="B100" s="57">
        <v>7833.8325199999999</v>
      </c>
      <c r="C100" s="28" t="s">
        <v>16</v>
      </c>
      <c r="D100" s="8" t="s">
        <v>75</v>
      </c>
      <c r="E100" s="55" t="s">
        <v>59</v>
      </c>
      <c r="F100" s="51">
        <v>7442.1480000000001</v>
      </c>
      <c r="G100" s="21">
        <f t="shared" si="7"/>
        <v>9</v>
      </c>
      <c r="H100" s="20">
        <f t="shared" si="4"/>
        <v>4.9999092908869051E-2</v>
      </c>
      <c r="I100" s="50"/>
      <c r="J100" s="50"/>
      <c r="K100" s="50"/>
      <c r="L100" s="50"/>
    </row>
    <row r="101" spans="2:12" x14ac:dyDescent="0.2">
      <c r="B101" s="57">
        <v>7833.8325199999999</v>
      </c>
      <c r="C101" s="28" t="s">
        <v>16</v>
      </c>
      <c r="D101" s="8" t="s">
        <v>76</v>
      </c>
      <c r="E101" s="55" t="s">
        <v>60</v>
      </c>
      <c r="F101" s="51">
        <v>7407.47</v>
      </c>
      <c r="G101" s="21">
        <f t="shared" si="7"/>
        <v>11</v>
      </c>
      <c r="H101" s="20">
        <f t="shared" si="4"/>
        <v>5.4425789536792356E-2</v>
      </c>
      <c r="I101" s="50"/>
      <c r="J101" s="50"/>
      <c r="K101" s="50"/>
      <c r="L101" s="50"/>
    </row>
    <row r="102" spans="2:12" x14ac:dyDescent="0.2">
      <c r="B102" s="57">
        <v>7833.8325199999999</v>
      </c>
      <c r="C102" s="28" t="s">
        <v>16</v>
      </c>
      <c r="D102" s="8" t="s">
        <v>77</v>
      </c>
      <c r="E102" s="56" t="s">
        <v>61</v>
      </c>
      <c r="F102" s="51">
        <v>7510.6719999999996</v>
      </c>
      <c r="G102" s="21">
        <f t="shared" si="7"/>
        <v>6</v>
      </c>
      <c r="H102" s="20">
        <f t="shared" si="4"/>
        <v>4.1251905650901047E-2</v>
      </c>
      <c r="I102" s="50"/>
      <c r="J102" s="50"/>
      <c r="K102" s="50"/>
      <c r="L102" s="50"/>
    </row>
    <row r="103" spans="2:12" x14ac:dyDescent="0.2">
      <c r="B103" s="57">
        <v>7833.8325199999999</v>
      </c>
      <c r="C103" s="28" t="s">
        <v>16</v>
      </c>
      <c r="D103" s="8" t="s">
        <v>78</v>
      </c>
      <c r="E103" s="56" t="s">
        <v>62</v>
      </c>
      <c r="F103" s="51">
        <v>7547.3940000000002</v>
      </c>
      <c r="G103" s="21">
        <f t="shared" si="7"/>
        <v>3</v>
      </c>
      <c r="H103" s="20">
        <f t="shared" si="4"/>
        <v>3.6564289480112568E-2</v>
      </c>
      <c r="I103" s="50"/>
      <c r="J103" s="50"/>
      <c r="K103" s="50"/>
      <c r="L103" s="50"/>
    </row>
    <row r="104" spans="2:12" x14ac:dyDescent="0.2">
      <c r="B104" s="57">
        <v>7833.8325199999999</v>
      </c>
      <c r="C104" s="28" t="s">
        <v>16</v>
      </c>
      <c r="D104" s="8" t="s">
        <v>79</v>
      </c>
      <c r="E104" s="56" t="s">
        <v>63</v>
      </c>
      <c r="F104" s="51">
        <v>7494.3580000000002</v>
      </c>
      <c r="G104" s="21">
        <f t="shared" si="7"/>
        <v>8</v>
      </c>
      <c r="H104" s="20">
        <f t="shared" si="4"/>
        <v>4.3334411239110811E-2</v>
      </c>
      <c r="I104" s="50"/>
      <c r="J104" s="50"/>
      <c r="K104" s="50"/>
      <c r="L104" s="50"/>
    </row>
    <row r="105" spans="2:12" x14ac:dyDescent="0.2">
      <c r="B105" s="57">
        <v>7833.8325199999999</v>
      </c>
      <c r="C105" s="28" t="s">
        <v>16</v>
      </c>
      <c r="D105" s="8" t="s">
        <v>80</v>
      </c>
      <c r="E105" s="56" t="s">
        <v>64</v>
      </c>
      <c r="F105" s="51">
        <v>7499.2359999999999</v>
      </c>
      <c r="G105" s="21">
        <f t="shared" si="7"/>
        <v>7</v>
      </c>
      <c r="H105" s="20">
        <f t="shared" si="4"/>
        <v>4.2711727515971971E-2</v>
      </c>
      <c r="I105" s="50"/>
      <c r="J105" s="50"/>
      <c r="K105" s="50"/>
      <c r="L105" s="50"/>
    </row>
    <row r="106" spans="2:12" x14ac:dyDescent="0.2">
      <c r="B106" s="57">
        <v>7833.8325199999999</v>
      </c>
      <c r="C106" s="28" t="s">
        <v>16</v>
      </c>
      <c r="D106" s="8" t="s">
        <v>81</v>
      </c>
      <c r="E106" s="56" t="s">
        <v>65</v>
      </c>
      <c r="F106" s="51">
        <v>7524.598</v>
      </c>
      <c r="G106" s="21">
        <f t="shared" si="7"/>
        <v>5</v>
      </c>
      <c r="H106" s="20">
        <f t="shared" si="4"/>
        <v>3.9474231700832939E-2</v>
      </c>
      <c r="I106" s="50"/>
      <c r="J106" s="50"/>
      <c r="K106" s="50"/>
      <c r="L106" s="50"/>
    </row>
    <row r="107" spans="2:12" x14ac:dyDescent="0.2">
      <c r="B107" s="57">
        <v>7833.8325199999999</v>
      </c>
      <c r="C107" s="28" t="s">
        <v>16</v>
      </c>
      <c r="D107" s="8" t="s">
        <v>82</v>
      </c>
      <c r="E107" s="56" t="s">
        <v>66</v>
      </c>
      <c r="F107" s="51">
        <v>7527.3280000000004</v>
      </c>
      <c r="G107" s="21">
        <f t="shared" si="7"/>
        <v>4</v>
      </c>
      <c r="H107" s="20">
        <f t="shared" si="4"/>
        <v>3.9125743270293903E-2</v>
      </c>
      <c r="I107" s="50"/>
      <c r="J107" s="50"/>
      <c r="K107" s="50"/>
      <c r="L107" s="50"/>
    </row>
    <row r="108" spans="2:12" x14ac:dyDescent="0.2">
      <c r="B108" s="57">
        <v>7833.8325199999999</v>
      </c>
      <c r="C108" s="28" t="s">
        <v>16</v>
      </c>
      <c r="D108" s="8" t="s">
        <v>83</v>
      </c>
      <c r="E108" s="56" t="s">
        <v>67</v>
      </c>
      <c r="F108" s="51">
        <v>7562.57</v>
      </c>
      <c r="G108" s="21">
        <f t="shared" si="7"/>
        <v>2</v>
      </c>
      <c r="H108" s="20">
        <f t="shared" si="4"/>
        <v>3.462705123034724E-2</v>
      </c>
      <c r="I108" s="50"/>
      <c r="J108" s="50"/>
      <c r="K108" s="50"/>
      <c r="L108" s="50"/>
    </row>
    <row r="109" spans="2:12" x14ac:dyDescent="0.2">
      <c r="B109" s="57">
        <v>7833.8325199999999</v>
      </c>
      <c r="C109" s="28" t="s">
        <v>16</v>
      </c>
      <c r="D109" s="8" t="s">
        <v>84</v>
      </c>
      <c r="E109" s="56" t="s">
        <v>68</v>
      </c>
      <c r="F109" s="52">
        <v>7584.13</v>
      </c>
      <c r="G109" s="21">
        <f t="shared" si="7"/>
        <v>1</v>
      </c>
      <c r="H109" s="20">
        <f t="shared" si="4"/>
        <v>3.1874886189167576E-2</v>
      </c>
      <c r="I109" s="49"/>
      <c r="J109" s="49"/>
      <c r="K109" s="49"/>
      <c r="L109" s="49"/>
    </row>
    <row r="110" spans="2:12" x14ac:dyDescent="0.2">
      <c r="B110" s="67"/>
      <c r="C110" s="16" t="s">
        <v>2</v>
      </c>
      <c r="D110" s="15" t="s">
        <v>2</v>
      </c>
      <c r="E110" s="47" t="s">
        <v>2</v>
      </c>
      <c r="F110" s="17" t="s">
        <v>2</v>
      </c>
      <c r="G110" s="16" t="s">
        <v>38</v>
      </c>
      <c r="H110" s="38" t="e">
        <f>(B110-F110) / B110</f>
        <v>#VALUE!</v>
      </c>
    </row>
    <row r="111" spans="2:12" x14ac:dyDescent="0.2">
      <c r="B111" s="57">
        <v>7771.6616199999999</v>
      </c>
      <c r="C111" s="54" t="s">
        <v>17</v>
      </c>
      <c r="D111" s="8" t="s">
        <v>45</v>
      </c>
      <c r="E111" s="55" t="s">
        <v>49</v>
      </c>
      <c r="F111" s="51">
        <v>6802.5339999999997</v>
      </c>
      <c r="G111" s="21">
        <f>_xlfn.RANK.EQ(F111,$F$111:$F$130,0)</f>
        <v>18</v>
      </c>
      <c r="H111" s="20">
        <f>(B111-F111)/B111</f>
        <v>0.12470018219861716</v>
      </c>
      <c r="I111" s="49"/>
      <c r="J111" s="49"/>
      <c r="K111" s="49"/>
    </row>
    <row r="112" spans="2:12" x14ac:dyDescent="0.2">
      <c r="B112" s="57">
        <v>7771.6616199999999</v>
      </c>
      <c r="C112" s="54" t="s">
        <v>17</v>
      </c>
      <c r="D112" s="8" t="s">
        <v>46</v>
      </c>
      <c r="E112" s="55" t="s">
        <v>52</v>
      </c>
      <c r="F112" s="51">
        <v>6737.6</v>
      </c>
      <c r="G112" s="21">
        <f t="shared" ref="G112:G130" si="8">_xlfn.RANK.EQ(F112,$F$111:$F$130,0)</f>
        <v>20</v>
      </c>
      <c r="H112" s="20">
        <f t="shared" ref="H112:H130" si="9">(B112-F112)/B112</f>
        <v>0.13305540958434053</v>
      </c>
      <c r="I112" s="50"/>
      <c r="J112" s="50"/>
      <c r="K112" s="50"/>
    </row>
    <row r="113" spans="2:11" x14ac:dyDescent="0.2">
      <c r="B113" s="57">
        <v>7771.6616199999999</v>
      </c>
      <c r="C113" s="54" t="s">
        <v>17</v>
      </c>
      <c r="D113" s="8" t="s">
        <v>47</v>
      </c>
      <c r="E113" s="55" t="s">
        <v>50</v>
      </c>
      <c r="F113" s="51">
        <v>6774.9719999999998</v>
      </c>
      <c r="G113" s="21">
        <f t="shared" si="8"/>
        <v>19</v>
      </c>
      <c r="H113" s="20">
        <f t="shared" si="9"/>
        <v>0.12824665672976124</v>
      </c>
      <c r="I113" s="50"/>
      <c r="J113" s="50"/>
      <c r="K113" s="50"/>
    </row>
    <row r="114" spans="2:11" x14ac:dyDescent="0.2">
      <c r="B114" s="57">
        <v>7771.6616199999999</v>
      </c>
      <c r="C114" s="54" t="s">
        <v>17</v>
      </c>
      <c r="D114" s="8" t="s">
        <v>48</v>
      </c>
      <c r="E114" s="55" t="s">
        <v>51</v>
      </c>
      <c r="F114" s="51">
        <v>6832.7960000000003</v>
      </c>
      <c r="G114" s="21">
        <f t="shared" si="8"/>
        <v>17</v>
      </c>
      <c r="H114" s="20">
        <f t="shared" si="9"/>
        <v>0.12080629161515136</v>
      </c>
      <c r="I114" s="50"/>
      <c r="J114" s="50"/>
      <c r="K114" s="50"/>
    </row>
    <row r="115" spans="2:11" x14ac:dyDescent="0.2">
      <c r="B115" s="57">
        <v>7771.6616199999999</v>
      </c>
      <c r="C115" s="54" t="s">
        <v>17</v>
      </c>
      <c r="D115" s="8" t="s">
        <v>70</v>
      </c>
      <c r="E115" s="55" t="s">
        <v>53</v>
      </c>
      <c r="F115" s="51">
        <v>7160.8819999999996</v>
      </c>
      <c r="G115" s="21">
        <f t="shared" si="8"/>
        <v>14</v>
      </c>
      <c r="H115" s="20">
        <f t="shared" si="9"/>
        <v>7.8590609044041249E-2</v>
      </c>
      <c r="I115" s="50"/>
      <c r="J115" s="50"/>
      <c r="K115" s="50"/>
    </row>
    <row r="116" spans="2:11" x14ac:dyDescent="0.2">
      <c r="B116" s="57">
        <v>7771.6616199999999</v>
      </c>
      <c r="C116" s="54" t="s">
        <v>17</v>
      </c>
      <c r="D116" s="8" t="s">
        <v>71</v>
      </c>
      <c r="E116" s="55" t="s">
        <v>54</v>
      </c>
      <c r="F116" s="51">
        <v>7181.72</v>
      </c>
      <c r="G116" s="21">
        <f t="shared" si="8"/>
        <v>13</v>
      </c>
      <c r="H116" s="20">
        <f t="shared" si="9"/>
        <v>7.5909329155789934E-2</v>
      </c>
      <c r="I116" s="50"/>
      <c r="J116" s="50"/>
      <c r="K116" s="50"/>
    </row>
    <row r="117" spans="2:11" x14ac:dyDescent="0.2">
      <c r="B117" s="57">
        <v>7771.6616199999999</v>
      </c>
      <c r="C117" s="54" t="s">
        <v>17</v>
      </c>
      <c r="D117" s="8" t="s">
        <v>72</v>
      </c>
      <c r="E117" s="55" t="s">
        <v>55</v>
      </c>
      <c r="F117" s="51">
        <v>7148.7259999999997</v>
      </c>
      <c r="G117" s="21">
        <f t="shared" si="8"/>
        <v>15</v>
      </c>
      <c r="H117" s="20">
        <f t="shared" si="9"/>
        <v>8.0154753315160449E-2</v>
      </c>
      <c r="I117" s="50"/>
      <c r="J117" s="50"/>
      <c r="K117" s="50"/>
    </row>
    <row r="118" spans="2:11" x14ac:dyDescent="0.2">
      <c r="B118" s="57">
        <v>7771.6616199999999</v>
      </c>
      <c r="C118" s="54" t="s">
        <v>17</v>
      </c>
      <c r="D118" s="8" t="s">
        <v>69</v>
      </c>
      <c r="E118" s="55" t="s">
        <v>56</v>
      </c>
      <c r="F118" s="51">
        <v>7144.4759999999997</v>
      </c>
      <c r="G118" s="21">
        <f t="shared" si="8"/>
        <v>16</v>
      </c>
      <c r="H118" s="20">
        <f t="shared" si="9"/>
        <v>8.07016119160371E-2</v>
      </c>
      <c r="I118" s="50"/>
      <c r="J118" s="50"/>
      <c r="K118" s="50"/>
    </row>
    <row r="119" spans="2:11" x14ac:dyDescent="0.2">
      <c r="B119" s="57">
        <v>7771.6616199999999</v>
      </c>
      <c r="C119" s="54" t="s">
        <v>17</v>
      </c>
      <c r="D119" s="8" t="s">
        <v>73</v>
      </c>
      <c r="E119" s="55" t="s">
        <v>57</v>
      </c>
      <c r="F119" s="51">
        <v>7401.7740000000003</v>
      </c>
      <c r="G119" s="21">
        <f t="shared" si="8"/>
        <v>11</v>
      </c>
      <c r="H119" s="20">
        <f t="shared" si="9"/>
        <v>4.7594406201128391E-2</v>
      </c>
      <c r="I119" s="50"/>
      <c r="J119" s="50"/>
      <c r="K119" s="50"/>
    </row>
    <row r="120" spans="2:11" x14ac:dyDescent="0.2">
      <c r="B120" s="57">
        <v>7771.6616199999999</v>
      </c>
      <c r="C120" s="54" t="s">
        <v>17</v>
      </c>
      <c r="D120" s="8" t="s">
        <v>74</v>
      </c>
      <c r="E120" s="55" t="s">
        <v>58</v>
      </c>
      <c r="F120" s="51">
        <v>7403.4459999999999</v>
      </c>
      <c r="G120" s="21">
        <f t="shared" si="8"/>
        <v>10</v>
      </c>
      <c r="H120" s="20">
        <f t="shared" si="9"/>
        <v>4.7379265593912971E-2</v>
      </c>
      <c r="I120" s="50"/>
      <c r="J120" s="50"/>
      <c r="K120" s="50"/>
    </row>
    <row r="121" spans="2:11" x14ac:dyDescent="0.2">
      <c r="B121" s="57">
        <v>7771.6616199999999</v>
      </c>
      <c r="C121" s="54" t="s">
        <v>17</v>
      </c>
      <c r="D121" s="8" t="s">
        <v>75</v>
      </c>
      <c r="E121" s="55" t="s">
        <v>59</v>
      </c>
      <c r="F121" s="51">
        <v>7457.2640000000001</v>
      </c>
      <c r="G121" s="21">
        <f t="shared" si="8"/>
        <v>9</v>
      </c>
      <c r="H121" s="20">
        <f t="shared" si="9"/>
        <v>4.045436296285887E-2</v>
      </c>
      <c r="I121" s="50"/>
      <c r="J121" s="50"/>
      <c r="K121" s="50"/>
    </row>
    <row r="122" spans="2:11" x14ac:dyDescent="0.2">
      <c r="B122" s="57">
        <v>7771.6616199999999</v>
      </c>
      <c r="C122" s="54" t="s">
        <v>17</v>
      </c>
      <c r="D122" s="8" t="s">
        <v>76</v>
      </c>
      <c r="E122" s="55" t="s">
        <v>60</v>
      </c>
      <c r="F122" s="51">
        <v>7400.66</v>
      </c>
      <c r="G122" s="21">
        <f t="shared" si="8"/>
        <v>12</v>
      </c>
      <c r="H122" s="20">
        <f t="shared" si="9"/>
        <v>4.7737747490864124E-2</v>
      </c>
      <c r="I122" s="50"/>
      <c r="J122" s="50"/>
      <c r="K122" s="50"/>
    </row>
    <row r="123" spans="2:11" x14ac:dyDescent="0.2">
      <c r="B123" s="57">
        <v>7771.6616199999999</v>
      </c>
      <c r="C123" s="54" t="s">
        <v>17</v>
      </c>
      <c r="D123" s="8" t="s">
        <v>77</v>
      </c>
      <c r="E123" s="56" t="s">
        <v>61</v>
      </c>
      <c r="F123" s="51">
        <v>7490.9939999999997</v>
      </c>
      <c r="G123" s="21">
        <f t="shared" si="8"/>
        <v>6</v>
      </c>
      <c r="H123" s="20">
        <f t="shared" si="9"/>
        <v>3.6114235761077848E-2</v>
      </c>
      <c r="I123" s="50"/>
      <c r="J123" s="50"/>
      <c r="K123" s="50"/>
    </row>
    <row r="124" spans="2:11" x14ac:dyDescent="0.2">
      <c r="B124" s="57">
        <v>7771.6616199999999</v>
      </c>
      <c r="C124" s="54" t="s">
        <v>17</v>
      </c>
      <c r="D124" s="8" t="s">
        <v>78</v>
      </c>
      <c r="E124" s="56" t="s">
        <v>62</v>
      </c>
      <c r="F124" s="51">
        <v>7508.2719999999999</v>
      </c>
      <c r="G124" s="21">
        <f t="shared" si="8"/>
        <v>5</v>
      </c>
      <c r="H124" s="20">
        <f t="shared" si="9"/>
        <v>3.3891030371443261E-2</v>
      </c>
      <c r="I124" s="50"/>
      <c r="J124" s="50"/>
      <c r="K124" s="50"/>
    </row>
    <row r="125" spans="2:11" x14ac:dyDescent="0.2">
      <c r="B125" s="57">
        <v>7771.6616199999999</v>
      </c>
      <c r="C125" s="54" t="s">
        <v>17</v>
      </c>
      <c r="D125" s="8" t="s">
        <v>79</v>
      </c>
      <c r="E125" s="56" t="s">
        <v>63</v>
      </c>
      <c r="F125" s="51">
        <v>7463.5079999999998</v>
      </c>
      <c r="G125" s="21">
        <f t="shared" si="8"/>
        <v>8</v>
      </c>
      <c r="H125" s="20">
        <f t="shared" si="9"/>
        <v>3.9650931173712121E-2</v>
      </c>
      <c r="I125" s="50"/>
      <c r="J125" s="50"/>
      <c r="K125" s="50"/>
    </row>
    <row r="126" spans="2:11" x14ac:dyDescent="0.2">
      <c r="B126" s="57">
        <v>7771.6616199999999</v>
      </c>
      <c r="C126" s="54" t="s">
        <v>17</v>
      </c>
      <c r="D126" s="8" t="s">
        <v>80</v>
      </c>
      <c r="E126" s="56" t="s">
        <v>64</v>
      </c>
      <c r="F126" s="51">
        <v>7482.52</v>
      </c>
      <c r="G126" s="21">
        <f t="shared" si="8"/>
        <v>7</v>
      </c>
      <c r="H126" s="20">
        <f t="shared" si="9"/>
        <v>3.7204607474919812E-2</v>
      </c>
      <c r="I126" s="50"/>
      <c r="J126" s="50"/>
      <c r="K126" s="50"/>
    </row>
    <row r="127" spans="2:11" x14ac:dyDescent="0.2">
      <c r="B127" s="57">
        <v>7771.6616199999999</v>
      </c>
      <c r="C127" s="54" t="s">
        <v>17</v>
      </c>
      <c r="D127" s="8" t="s">
        <v>81</v>
      </c>
      <c r="E127" s="56" t="s">
        <v>65</v>
      </c>
      <c r="F127" s="51">
        <v>7532.24</v>
      </c>
      <c r="G127" s="21">
        <f t="shared" si="8"/>
        <v>2</v>
      </c>
      <c r="H127" s="20">
        <f t="shared" si="9"/>
        <v>3.0807005207722886E-2</v>
      </c>
      <c r="I127" s="50"/>
      <c r="J127" s="50"/>
      <c r="K127" s="50"/>
    </row>
    <row r="128" spans="2:11" x14ac:dyDescent="0.2">
      <c r="B128" s="57">
        <v>7771.6616199999999</v>
      </c>
      <c r="C128" s="54" t="s">
        <v>17</v>
      </c>
      <c r="D128" s="8" t="s">
        <v>82</v>
      </c>
      <c r="E128" s="56" t="s">
        <v>66</v>
      </c>
      <c r="F128" s="52">
        <v>7539.5519999999997</v>
      </c>
      <c r="G128" s="21">
        <f t="shared" si="8"/>
        <v>1</v>
      </c>
      <c r="H128" s="20">
        <f t="shared" si="9"/>
        <v>2.9866151068991108E-2</v>
      </c>
      <c r="I128" s="50"/>
      <c r="J128" s="50"/>
      <c r="K128" s="50"/>
    </row>
    <row r="129" spans="2:13" x14ac:dyDescent="0.2">
      <c r="B129" s="57">
        <v>7771.6616199999999</v>
      </c>
      <c r="C129" s="54" t="s">
        <v>17</v>
      </c>
      <c r="D129" s="8" t="s">
        <v>83</v>
      </c>
      <c r="E129" s="56" t="s">
        <v>67</v>
      </c>
      <c r="F129" s="51">
        <v>7525.8320000000003</v>
      </c>
      <c r="G129" s="21">
        <f t="shared" si="8"/>
        <v>3</v>
      </c>
      <c r="H129" s="20">
        <f t="shared" si="9"/>
        <v>3.1631539305232839E-2</v>
      </c>
      <c r="I129" s="49"/>
      <c r="J129" s="49"/>
      <c r="K129" s="49"/>
    </row>
    <row r="130" spans="2:13" x14ac:dyDescent="0.2">
      <c r="B130" s="57">
        <v>7771.6616199999999</v>
      </c>
      <c r="C130" s="54" t="s">
        <v>17</v>
      </c>
      <c r="D130" s="8" t="s">
        <v>84</v>
      </c>
      <c r="E130" s="56" t="s">
        <v>68</v>
      </c>
      <c r="F130" s="51">
        <v>7511.652</v>
      </c>
      <c r="G130" s="21">
        <f t="shared" si="8"/>
        <v>4</v>
      </c>
      <c r="H130" s="20">
        <f t="shared" si="9"/>
        <v>3.345611694298134E-2</v>
      </c>
      <c r="I130" s="50"/>
      <c r="J130" s="50"/>
      <c r="K130" s="50"/>
    </row>
    <row r="131" spans="2:13" x14ac:dyDescent="0.2">
      <c r="B131" s="67"/>
      <c r="C131" s="16" t="s">
        <v>2</v>
      </c>
      <c r="D131" s="15" t="s">
        <v>2</v>
      </c>
      <c r="E131" s="47" t="s">
        <v>2</v>
      </c>
      <c r="F131" s="17" t="s">
        <v>2</v>
      </c>
      <c r="G131" s="16" t="s">
        <v>38</v>
      </c>
      <c r="H131" s="38" t="e">
        <f>(B131-F131) / B131</f>
        <v>#VALUE!</v>
      </c>
      <c r="I131" s="50"/>
      <c r="J131" s="49"/>
      <c r="K131" s="49"/>
      <c r="L131" s="49"/>
      <c r="M131" s="49"/>
    </row>
    <row r="132" spans="2:13" x14ac:dyDescent="0.2">
      <c r="B132" s="57">
        <v>778030.625</v>
      </c>
      <c r="C132" s="54" t="s">
        <v>22</v>
      </c>
      <c r="D132" s="8" t="s">
        <v>45</v>
      </c>
      <c r="E132" s="55" t="s">
        <v>49</v>
      </c>
      <c r="F132" s="51">
        <v>673908.02</v>
      </c>
      <c r="G132" s="21">
        <f>_xlfn.RANK.EQ(F132,$F$132:$F$151,0)</f>
        <v>19</v>
      </c>
      <c r="H132" s="20">
        <f t="shared" ref="H132:H193" si="10">(B132-F132) / B132</f>
        <v>0.13382841453059766</v>
      </c>
      <c r="J132" s="50"/>
      <c r="K132" s="50"/>
      <c r="L132" s="50"/>
      <c r="M132" s="50"/>
    </row>
    <row r="133" spans="2:13" x14ac:dyDescent="0.2">
      <c r="B133" s="57">
        <v>778030.625</v>
      </c>
      <c r="C133" s="54" t="s">
        <v>22</v>
      </c>
      <c r="D133" s="8" t="s">
        <v>46</v>
      </c>
      <c r="E133" s="55" t="s">
        <v>52</v>
      </c>
      <c r="F133" s="51">
        <v>671011.98800000001</v>
      </c>
      <c r="G133" s="21">
        <f t="shared" ref="G133:G151" si="11">_xlfn.RANK.EQ(F133,$F$132:$F$151,0)</f>
        <v>20</v>
      </c>
      <c r="H133" s="20">
        <f t="shared" si="10"/>
        <v>0.13755067417815331</v>
      </c>
      <c r="J133" s="50"/>
      <c r="K133" s="50"/>
      <c r="L133" s="50"/>
      <c r="M133" s="50"/>
    </row>
    <row r="134" spans="2:13" x14ac:dyDescent="0.2">
      <c r="B134" s="57">
        <v>778030.625</v>
      </c>
      <c r="C134" s="54" t="s">
        <v>22</v>
      </c>
      <c r="D134" s="8" t="s">
        <v>47</v>
      </c>
      <c r="E134" s="55" t="s">
        <v>50</v>
      </c>
      <c r="F134" s="51">
        <v>676079.06799999997</v>
      </c>
      <c r="G134" s="21">
        <f t="shared" si="11"/>
        <v>18</v>
      </c>
      <c r="H134" s="20">
        <f t="shared" si="10"/>
        <v>0.1310379742442658</v>
      </c>
      <c r="J134" s="50"/>
      <c r="K134" s="50"/>
      <c r="L134" s="50"/>
      <c r="M134" s="50"/>
    </row>
    <row r="135" spans="2:13" x14ac:dyDescent="0.2">
      <c r="B135" s="57">
        <v>778030.625</v>
      </c>
      <c r="C135" s="54" t="s">
        <v>22</v>
      </c>
      <c r="D135" s="8" t="s">
        <v>48</v>
      </c>
      <c r="E135" s="55" t="s">
        <v>51</v>
      </c>
      <c r="F135" s="51">
        <v>680662.95400000003</v>
      </c>
      <c r="G135" s="21">
        <f t="shared" si="11"/>
        <v>17</v>
      </c>
      <c r="H135" s="20">
        <f t="shared" si="10"/>
        <v>0.1251463218430508</v>
      </c>
      <c r="J135" s="50"/>
      <c r="K135" s="50"/>
      <c r="L135" s="50"/>
      <c r="M135" s="50"/>
    </row>
    <row r="136" spans="2:13" x14ac:dyDescent="0.2">
      <c r="B136" s="57">
        <v>778030.625</v>
      </c>
      <c r="C136" s="54" t="s">
        <v>22</v>
      </c>
      <c r="D136" s="8" t="s">
        <v>70</v>
      </c>
      <c r="E136" s="55" t="s">
        <v>53</v>
      </c>
      <c r="F136" s="51">
        <v>713522.40599999996</v>
      </c>
      <c r="G136" s="21">
        <f t="shared" si="11"/>
        <v>16</v>
      </c>
      <c r="H136" s="20">
        <f t="shared" si="10"/>
        <v>8.2912184851335433E-2</v>
      </c>
      <c r="J136" s="50"/>
      <c r="K136" s="50"/>
      <c r="L136" s="50"/>
      <c r="M136" s="50"/>
    </row>
    <row r="137" spans="2:13" x14ac:dyDescent="0.2">
      <c r="B137" s="57">
        <v>778030.625</v>
      </c>
      <c r="C137" s="54" t="s">
        <v>22</v>
      </c>
      <c r="D137" s="8" t="s">
        <v>71</v>
      </c>
      <c r="E137" s="55" t="s">
        <v>54</v>
      </c>
      <c r="F137" s="51">
        <v>715618.86600000004</v>
      </c>
      <c r="G137" s="21">
        <f t="shared" si="11"/>
        <v>15</v>
      </c>
      <c r="H137" s="20">
        <f t="shared" si="10"/>
        <v>8.0217612256586898E-2</v>
      </c>
      <c r="J137" s="50"/>
      <c r="K137" s="50"/>
      <c r="L137" s="50"/>
      <c r="M137" s="50"/>
    </row>
    <row r="138" spans="2:13" x14ac:dyDescent="0.2">
      <c r="B138" s="57">
        <v>778030.625</v>
      </c>
      <c r="C138" s="54" t="s">
        <v>22</v>
      </c>
      <c r="D138" s="8" t="s">
        <v>72</v>
      </c>
      <c r="E138" s="55" t="s">
        <v>55</v>
      </c>
      <c r="F138" s="51">
        <v>716764.59</v>
      </c>
      <c r="G138" s="21">
        <f t="shared" si="11"/>
        <v>13</v>
      </c>
      <c r="H138" s="20">
        <f t="shared" si="10"/>
        <v>7.8745017267154535E-2</v>
      </c>
      <c r="J138" s="50"/>
      <c r="K138" s="50"/>
      <c r="L138" s="50"/>
      <c r="M138" s="50"/>
    </row>
    <row r="139" spans="2:13" x14ac:dyDescent="0.2">
      <c r="B139" s="57">
        <v>778030.625</v>
      </c>
      <c r="C139" s="54" t="s">
        <v>22</v>
      </c>
      <c r="D139" s="8" t="s">
        <v>69</v>
      </c>
      <c r="E139" s="55" t="s">
        <v>56</v>
      </c>
      <c r="F139" s="51">
        <v>716154.902</v>
      </c>
      <c r="G139" s="21">
        <f t="shared" si="11"/>
        <v>14</v>
      </c>
      <c r="H139" s="20">
        <f t="shared" si="10"/>
        <v>7.9528647088924043E-2</v>
      </c>
      <c r="J139" s="50"/>
      <c r="K139" s="50"/>
      <c r="L139" s="50"/>
      <c r="M139" s="50"/>
    </row>
    <row r="140" spans="2:13" x14ac:dyDescent="0.2">
      <c r="B140" s="57">
        <v>778030.625</v>
      </c>
      <c r="C140" s="54" t="s">
        <v>22</v>
      </c>
      <c r="D140" s="8" t="s">
        <v>73</v>
      </c>
      <c r="E140" s="55" t="s">
        <v>57</v>
      </c>
      <c r="F140" s="51">
        <v>737590.57799999998</v>
      </c>
      <c r="G140" s="21">
        <f t="shared" si="11"/>
        <v>12</v>
      </c>
      <c r="H140" s="20">
        <f t="shared" si="10"/>
        <v>5.19774488311434E-2</v>
      </c>
      <c r="J140" s="50"/>
      <c r="K140" s="50"/>
      <c r="L140" s="50"/>
      <c r="M140" s="50"/>
    </row>
    <row r="141" spans="2:13" x14ac:dyDescent="0.2">
      <c r="B141" s="57">
        <v>778030.625</v>
      </c>
      <c r="C141" s="54" t="s">
        <v>22</v>
      </c>
      <c r="D141" s="8" t="s">
        <v>74</v>
      </c>
      <c r="E141" s="55" t="s">
        <v>58</v>
      </c>
      <c r="F141" s="51">
        <v>746022.696</v>
      </c>
      <c r="G141" s="21">
        <f t="shared" si="11"/>
        <v>8</v>
      </c>
      <c r="H141" s="20">
        <f t="shared" si="10"/>
        <v>4.1139677503054591E-2</v>
      </c>
      <c r="J141" s="50"/>
      <c r="K141" s="50"/>
      <c r="L141" s="50"/>
      <c r="M141" s="50"/>
    </row>
    <row r="142" spans="2:13" x14ac:dyDescent="0.2">
      <c r="B142" s="57">
        <v>778030.625</v>
      </c>
      <c r="C142" s="54" t="s">
        <v>22</v>
      </c>
      <c r="D142" s="8" t="s">
        <v>75</v>
      </c>
      <c r="E142" s="55" t="s">
        <v>59</v>
      </c>
      <c r="F142" s="51">
        <v>743123.00399999996</v>
      </c>
      <c r="G142" s="21">
        <f t="shared" si="11"/>
        <v>11</v>
      </c>
      <c r="H142" s="20">
        <f t="shared" si="10"/>
        <v>4.486664133561586E-2</v>
      </c>
      <c r="J142" s="50"/>
      <c r="K142" s="50"/>
      <c r="L142" s="50"/>
      <c r="M142" s="50"/>
    </row>
    <row r="143" spans="2:13" x14ac:dyDescent="0.2">
      <c r="B143" s="57">
        <v>778030.625</v>
      </c>
      <c r="C143" s="54" t="s">
        <v>22</v>
      </c>
      <c r="D143" s="8" t="s">
        <v>76</v>
      </c>
      <c r="E143" s="55" t="s">
        <v>60</v>
      </c>
      <c r="F143" s="51">
        <v>745171.04599999997</v>
      </c>
      <c r="G143" s="21">
        <f t="shared" si="11"/>
        <v>10</v>
      </c>
      <c r="H143" s="20">
        <f t="shared" si="10"/>
        <v>4.2234300224364599E-2</v>
      </c>
      <c r="J143" s="50"/>
      <c r="K143" s="50"/>
      <c r="L143" s="50"/>
      <c r="M143" s="50"/>
    </row>
    <row r="144" spans="2:13" x14ac:dyDescent="0.2">
      <c r="B144" s="57">
        <v>778030.625</v>
      </c>
      <c r="C144" s="54" t="s">
        <v>22</v>
      </c>
      <c r="D144" s="8" t="s">
        <v>77</v>
      </c>
      <c r="E144" s="56" t="s">
        <v>61</v>
      </c>
      <c r="F144" s="51">
        <v>749635.68400000001</v>
      </c>
      <c r="G144" s="21">
        <f t="shared" si="11"/>
        <v>7</v>
      </c>
      <c r="H144" s="20">
        <f t="shared" si="10"/>
        <v>3.6495916854172666E-2</v>
      </c>
      <c r="J144" s="50"/>
      <c r="K144" s="50"/>
      <c r="L144" s="50"/>
      <c r="M144" s="50"/>
    </row>
    <row r="145" spans="2:13" x14ac:dyDescent="0.2">
      <c r="B145" s="57">
        <v>778030.625</v>
      </c>
      <c r="C145" s="54" t="s">
        <v>22</v>
      </c>
      <c r="D145" s="8" t="s">
        <v>78</v>
      </c>
      <c r="E145" s="56" t="s">
        <v>62</v>
      </c>
      <c r="F145" s="51">
        <v>749953.61800000002</v>
      </c>
      <c r="G145" s="21">
        <f t="shared" si="11"/>
        <v>6</v>
      </c>
      <c r="H145" s="20">
        <f t="shared" si="10"/>
        <v>3.6087277412762492E-2</v>
      </c>
      <c r="J145" s="50"/>
      <c r="K145" s="50"/>
      <c r="L145" s="50"/>
      <c r="M145" s="50"/>
    </row>
    <row r="146" spans="2:13" x14ac:dyDescent="0.2">
      <c r="B146" s="57">
        <v>778030.625</v>
      </c>
      <c r="C146" s="54" t="s">
        <v>22</v>
      </c>
      <c r="D146" s="8" t="s">
        <v>79</v>
      </c>
      <c r="E146" s="56" t="s">
        <v>63</v>
      </c>
      <c r="F146" s="51">
        <v>745196.96</v>
      </c>
      <c r="G146" s="21">
        <f t="shared" si="11"/>
        <v>9</v>
      </c>
      <c r="H146" s="20">
        <f t="shared" si="10"/>
        <v>4.2200993052169428E-2</v>
      </c>
      <c r="J146" s="50"/>
      <c r="K146" s="50"/>
      <c r="L146" s="50"/>
      <c r="M146" s="50"/>
    </row>
    <row r="147" spans="2:13" x14ac:dyDescent="0.2">
      <c r="B147" s="57">
        <v>778030.625</v>
      </c>
      <c r="C147" s="54" t="s">
        <v>22</v>
      </c>
      <c r="D147" s="8" t="s">
        <v>80</v>
      </c>
      <c r="E147" s="56" t="s">
        <v>64</v>
      </c>
      <c r="F147" s="51">
        <v>753834.17799999996</v>
      </c>
      <c r="G147" s="21">
        <f t="shared" si="11"/>
        <v>5</v>
      </c>
      <c r="H147" s="20">
        <f t="shared" si="10"/>
        <v>3.1099607422265727E-2</v>
      </c>
      <c r="J147" s="50"/>
      <c r="K147" s="50"/>
      <c r="L147" s="50"/>
      <c r="M147" s="50"/>
    </row>
    <row r="148" spans="2:13" x14ac:dyDescent="0.2">
      <c r="B148" s="57">
        <v>778030.625</v>
      </c>
      <c r="C148" s="54" t="s">
        <v>22</v>
      </c>
      <c r="D148" s="8" t="s">
        <v>81</v>
      </c>
      <c r="E148" s="56" t="s">
        <v>65</v>
      </c>
      <c r="F148" s="51">
        <v>754628.62600000005</v>
      </c>
      <c r="G148" s="21">
        <f t="shared" si="11"/>
        <v>4</v>
      </c>
      <c r="H148" s="20">
        <f t="shared" si="10"/>
        <v>3.0078506228466202E-2</v>
      </c>
      <c r="J148" s="50"/>
      <c r="K148" s="50"/>
      <c r="L148" s="50"/>
      <c r="M148" s="50"/>
    </row>
    <row r="149" spans="2:13" x14ac:dyDescent="0.2">
      <c r="B149" s="57">
        <v>778030.625</v>
      </c>
      <c r="C149" s="54" t="s">
        <v>22</v>
      </c>
      <c r="D149" s="8" t="s">
        <v>82</v>
      </c>
      <c r="E149" s="56" t="s">
        <v>66</v>
      </c>
      <c r="F149" s="51">
        <v>756866.89399999997</v>
      </c>
      <c r="G149" s="21">
        <f t="shared" si="11"/>
        <v>3</v>
      </c>
      <c r="H149" s="20">
        <f t="shared" si="10"/>
        <v>2.7201668314791632E-2</v>
      </c>
      <c r="J149" s="50"/>
      <c r="K149" s="50"/>
      <c r="L149" s="50"/>
      <c r="M149" s="50"/>
    </row>
    <row r="150" spans="2:13" x14ac:dyDescent="0.2">
      <c r="B150" s="57">
        <v>778030.625</v>
      </c>
      <c r="C150" s="54" t="s">
        <v>22</v>
      </c>
      <c r="D150" s="8" t="s">
        <v>83</v>
      </c>
      <c r="E150" s="56" t="s">
        <v>67</v>
      </c>
      <c r="F150" s="52">
        <v>757497.89800000004</v>
      </c>
      <c r="G150" s="21">
        <f t="shared" si="11"/>
        <v>1</v>
      </c>
      <c r="H150" s="20">
        <f t="shared" si="10"/>
        <v>2.6390641113902109E-2</v>
      </c>
      <c r="J150" s="49"/>
      <c r="K150" s="49"/>
      <c r="L150" s="49"/>
      <c r="M150" s="49"/>
    </row>
    <row r="151" spans="2:13" x14ac:dyDescent="0.2">
      <c r="B151" s="57">
        <v>778030.625</v>
      </c>
      <c r="C151" s="54" t="s">
        <v>22</v>
      </c>
      <c r="D151" s="8" t="s">
        <v>84</v>
      </c>
      <c r="E151" s="56" t="s">
        <v>68</v>
      </c>
      <c r="F151" s="51">
        <v>756923.76399999997</v>
      </c>
      <c r="G151" s="21">
        <f t="shared" si="11"/>
        <v>2</v>
      </c>
      <c r="H151" s="20">
        <f t="shared" si="10"/>
        <v>2.7128573505702341E-2</v>
      </c>
      <c r="J151" s="50"/>
      <c r="K151" s="50"/>
      <c r="L151" s="50"/>
      <c r="M151" s="50"/>
    </row>
    <row r="152" spans="2:13" x14ac:dyDescent="0.2">
      <c r="B152" s="67"/>
      <c r="C152" s="16" t="s">
        <v>2</v>
      </c>
      <c r="D152" s="15" t="s">
        <v>2</v>
      </c>
      <c r="E152" s="47" t="s">
        <v>2</v>
      </c>
      <c r="F152" s="17" t="s">
        <v>2</v>
      </c>
      <c r="G152" s="16" t="s">
        <v>38</v>
      </c>
      <c r="H152" s="38" t="e">
        <f>(B152-F152) / B152</f>
        <v>#VALUE!</v>
      </c>
      <c r="I152" s="49"/>
      <c r="J152" s="49"/>
      <c r="K152" s="49"/>
    </row>
    <row r="153" spans="2:13" x14ac:dyDescent="0.2">
      <c r="B153" s="57">
        <v>779963.6875</v>
      </c>
      <c r="C153" s="28" t="s">
        <v>23</v>
      </c>
      <c r="D153" s="8" t="s">
        <v>45</v>
      </c>
      <c r="E153" s="55" t="s">
        <v>49</v>
      </c>
      <c r="F153" s="51">
        <v>670480.93200000003</v>
      </c>
      <c r="G153" s="28">
        <f>_xlfn.RANK.EQ(F153,$F$153:$F$172,0)</f>
        <v>20</v>
      </c>
      <c r="H153" s="20">
        <f>(B153-F153) / B153</f>
        <v>0.14036904186004168</v>
      </c>
      <c r="I153" s="50"/>
      <c r="J153" s="50"/>
      <c r="K153" s="50"/>
    </row>
    <row r="154" spans="2:13" x14ac:dyDescent="0.2">
      <c r="B154" s="57">
        <v>779963.6875</v>
      </c>
      <c r="C154" s="28" t="s">
        <v>23</v>
      </c>
      <c r="D154" s="8" t="s">
        <v>46</v>
      </c>
      <c r="E154" s="55" t="s">
        <v>52</v>
      </c>
      <c r="F154" s="51">
        <v>679463.38399999996</v>
      </c>
      <c r="G154" s="28">
        <f t="shared" ref="G154:G172" si="12">_xlfn.RANK.EQ(F154,$F$153:$F$172,0)</f>
        <v>17</v>
      </c>
      <c r="H154" s="20">
        <f>(B154-F154) / B154</f>
        <v>0.12885254161271456</v>
      </c>
      <c r="I154" s="50"/>
      <c r="J154" s="50"/>
      <c r="K154" s="50"/>
    </row>
    <row r="155" spans="2:13" x14ac:dyDescent="0.2">
      <c r="B155" s="57">
        <v>779963.6875</v>
      </c>
      <c r="C155" s="28" t="s">
        <v>23</v>
      </c>
      <c r="D155" s="8" t="s">
        <v>47</v>
      </c>
      <c r="E155" s="55" t="s">
        <v>50</v>
      </c>
      <c r="F155" s="51">
        <v>674036.82799999998</v>
      </c>
      <c r="G155" s="28">
        <f t="shared" si="12"/>
        <v>19</v>
      </c>
      <c r="H155" s="20">
        <f t="shared" si="10"/>
        <v>0.13580998859001372</v>
      </c>
      <c r="I155" s="50"/>
      <c r="J155" s="50"/>
      <c r="K155" s="50"/>
    </row>
    <row r="156" spans="2:13" x14ac:dyDescent="0.2">
      <c r="B156" s="57">
        <v>779963.6875</v>
      </c>
      <c r="C156" s="28" t="s">
        <v>23</v>
      </c>
      <c r="D156" s="8" t="s">
        <v>48</v>
      </c>
      <c r="E156" s="55" t="s">
        <v>51</v>
      </c>
      <c r="F156" s="51">
        <v>678962.36399999994</v>
      </c>
      <c r="G156" s="28">
        <f t="shared" si="12"/>
        <v>18</v>
      </c>
      <c r="H156" s="20">
        <f t="shared" si="10"/>
        <v>0.12949490485093904</v>
      </c>
      <c r="I156" s="50"/>
      <c r="J156" s="50"/>
      <c r="K156" s="50"/>
    </row>
    <row r="157" spans="2:13" x14ac:dyDescent="0.2">
      <c r="B157" s="57">
        <v>779963.6875</v>
      </c>
      <c r="C157" s="28" t="s">
        <v>23</v>
      </c>
      <c r="D157" s="8" t="s">
        <v>70</v>
      </c>
      <c r="E157" s="55" t="s">
        <v>53</v>
      </c>
      <c r="F157" s="51">
        <v>718587.64399999997</v>
      </c>
      <c r="G157" s="28">
        <f t="shared" si="12"/>
        <v>13</v>
      </c>
      <c r="H157" s="20">
        <f t="shared" si="10"/>
        <v>7.8690898670843612E-2</v>
      </c>
      <c r="I157" s="50"/>
      <c r="J157" s="50"/>
      <c r="K157" s="50"/>
    </row>
    <row r="158" spans="2:13" x14ac:dyDescent="0.2">
      <c r="B158" s="57">
        <v>779963.6875</v>
      </c>
      <c r="C158" s="28" t="s">
        <v>23</v>
      </c>
      <c r="D158" s="8" t="s">
        <v>71</v>
      </c>
      <c r="E158" s="55" t="s">
        <v>54</v>
      </c>
      <c r="F158" s="51">
        <v>714961.39599999995</v>
      </c>
      <c r="G158" s="28">
        <f t="shared" si="12"/>
        <v>16</v>
      </c>
      <c r="H158" s="20">
        <f t="shared" si="10"/>
        <v>8.3340151011838032E-2</v>
      </c>
      <c r="I158" s="50"/>
      <c r="J158" s="50"/>
      <c r="K158" s="50"/>
    </row>
    <row r="159" spans="2:13" x14ac:dyDescent="0.2">
      <c r="B159" s="57">
        <v>779963.6875</v>
      </c>
      <c r="C159" s="28" t="s">
        <v>23</v>
      </c>
      <c r="D159" s="8" t="s">
        <v>72</v>
      </c>
      <c r="E159" s="55" t="s">
        <v>55</v>
      </c>
      <c r="F159" s="51">
        <v>716698.83400000003</v>
      </c>
      <c r="G159" s="28">
        <f t="shared" si="12"/>
        <v>15</v>
      </c>
      <c r="H159" s="20">
        <f t="shared" si="10"/>
        <v>8.1112562692221446E-2</v>
      </c>
      <c r="I159" s="50"/>
      <c r="J159" s="50"/>
      <c r="K159" s="50"/>
    </row>
    <row r="160" spans="2:13" x14ac:dyDescent="0.2">
      <c r="B160" s="57">
        <v>779963.6875</v>
      </c>
      <c r="C160" s="28" t="s">
        <v>23</v>
      </c>
      <c r="D160" s="8" t="s">
        <v>69</v>
      </c>
      <c r="E160" s="55" t="s">
        <v>56</v>
      </c>
      <c r="F160" s="51">
        <v>718411.76399999997</v>
      </c>
      <c r="G160" s="28">
        <f t="shared" si="12"/>
        <v>14</v>
      </c>
      <c r="H160" s="20">
        <f t="shared" si="10"/>
        <v>7.8916396348259532E-2</v>
      </c>
      <c r="I160" s="50"/>
      <c r="J160" s="50"/>
      <c r="K160" s="50"/>
    </row>
    <row r="161" spans="2:11" x14ac:dyDescent="0.2">
      <c r="B161" s="57">
        <v>779963.6875</v>
      </c>
      <c r="C161" s="28" t="s">
        <v>23</v>
      </c>
      <c r="D161" s="8" t="s">
        <v>73</v>
      </c>
      <c r="E161" s="55" t="s">
        <v>57</v>
      </c>
      <c r="F161" s="51">
        <v>742006.24</v>
      </c>
      <c r="G161" s="28">
        <f t="shared" si="12"/>
        <v>10</v>
      </c>
      <c r="H161" s="20">
        <f t="shared" si="10"/>
        <v>4.866565983560614E-2</v>
      </c>
      <c r="I161" s="50"/>
      <c r="J161" s="50"/>
      <c r="K161" s="50"/>
    </row>
    <row r="162" spans="2:11" x14ac:dyDescent="0.2">
      <c r="B162" s="57">
        <v>779963.6875</v>
      </c>
      <c r="C162" s="28" t="s">
        <v>23</v>
      </c>
      <c r="D162" s="8" t="s">
        <v>74</v>
      </c>
      <c r="E162" s="55" t="s">
        <v>58</v>
      </c>
      <c r="F162" s="51">
        <v>741400.35800000001</v>
      </c>
      <c r="G162" s="28">
        <f t="shared" si="12"/>
        <v>12</v>
      </c>
      <c r="H162" s="20">
        <f t="shared" si="10"/>
        <v>4.944246779437407E-2</v>
      </c>
      <c r="I162" s="50"/>
      <c r="J162" s="50"/>
      <c r="K162" s="50"/>
    </row>
    <row r="163" spans="2:11" x14ac:dyDescent="0.2">
      <c r="B163" s="57">
        <v>779963.6875</v>
      </c>
      <c r="C163" s="28" t="s">
        <v>23</v>
      </c>
      <c r="D163" s="8" t="s">
        <v>75</v>
      </c>
      <c r="E163" s="55" t="s">
        <v>59</v>
      </c>
      <c r="F163" s="51">
        <v>741440.33</v>
      </c>
      <c r="G163" s="28">
        <f t="shared" si="12"/>
        <v>11</v>
      </c>
      <c r="H163" s="20">
        <f t="shared" si="10"/>
        <v>4.9391219254678494E-2</v>
      </c>
      <c r="I163" s="50"/>
      <c r="J163" s="50"/>
      <c r="K163" s="50"/>
    </row>
    <row r="164" spans="2:11" x14ac:dyDescent="0.2">
      <c r="B164" s="57">
        <v>779963.6875</v>
      </c>
      <c r="C164" s="28" t="s">
        <v>23</v>
      </c>
      <c r="D164" s="8" t="s">
        <v>76</v>
      </c>
      <c r="E164" s="55" t="s">
        <v>60</v>
      </c>
      <c r="F164" s="51">
        <v>746320.93599999999</v>
      </c>
      <c r="G164" s="28">
        <f t="shared" si="12"/>
        <v>9</v>
      </c>
      <c r="H164" s="20">
        <f t="shared" si="10"/>
        <v>4.3133740761488994E-2</v>
      </c>
      <c r="I164" s="50"/>
      <c r="J164" s="50"/>
      <c r="K164" s="50"/>
    </row>
    <row r="165" spans="2:11" x14ac:dyDescent="0.2">
      <c r="B165" s="57">
        <v>779963.6875</v>
      </c>
      <c r="C165" s="28" t="s">
        <v>23</v>
      </c>
      <c r="D165" s="8" t="s">
        <v>77</v>
      </c>
      <c r="E165" s="56" t="s">
        <v>61</v>
      </c>
      <c r="F165" s="51">
        <v>748429.23</v>
      </c>
      <c r="G165" s="28">
        <f t="shared" si="12"/>
        <v>8</v>
      </c>
      <c r="H165" s="20">
        <f t="shared" si="10"/>
        <v>4.043067389595624E-2</v>
      </c>
      <c r="I165" s="50"/>
      <c r="J165" s="50"/>
      <c r="K165" s="50"/>
    </row>
    <row r="166" spans="2:11" x14ac:dyDescent="0.2">
      <c r="B166" s="57">
        <v>779963.6875</v>
      </c>
      <c r="C166" s="28" t="s">
        <v>23</v>
      </c>
      <c r="D166" s="8" t="s">
        <v>78</v>
      </c>
      <c r="E166" s="56" t="s">
        <v>62</v>
      </c>
      <c r="F166" s="51">
        <v>750935.81</v>
      </c>
      <c r="G166" s="28">
        <f t="shared" si="12"/>
        <v>6</v>
      </c>
      <c r="H166" s="20">
        <f t="shared" si="10"/>
        <v>3.7216960180598078E-2</v>
      </c>
      <c r="I166" s="50"/>
      <c r="J166" s="50"/>
      <c r="K166" s="50"/>
    </row>
    <row r="167" spans="2:11" x14ac:dyDescent="0.2">
      <c r="B167" s="57">
        <v>779963.6875</v>
      </c>
      <c r="C167" s="28" t="s">
        <v>23</v>
      </c>
      <c r="D167" s="8" t="s">
        <v>79</v>
      </c>
      <c r="E167" s="56" t="s">
        <v>63</v>
      </c>
      <c r="F167" s="51">
        <v>750557.50399999996</v>
      </c>
      <c r="G167" s="28">
        <f t="shared" si="12"/>
        <v>7</v>
      </c>
      <c r="H167" s="20">
        <f t="shared" si="10"/>
        <v>3.7701990453241505E-2</v>
      </c>
      <c r="I167" s="50"/>
      <c r="J167" s="50"/>
      <c r="K167" s="50"/>
    </row>
    <row r="168" spans="2:11" x14ac:dyDescent="0.2">
      <c r="B168" s="57">
        <v>779963.6875</v>
      </c>
      <c r="C168" s="28" t="s">
        <v>23</v>
      </c>
      <c r="D168" s="8" t="s">
        <v>80</v>
      </c>
      <c r="E168" s="56" t="s">
        <v>64</v>
      </c>
      <c r="F168" s="51">
        <v>751459.80799999996</v>
      </c>
      <c r="G168" s="28">
        <f t="shared" si="12"/>
        <v>5</v>
      </c>
      <c r="H168" s="20">
        <f t="shared" si="10"/>
        <v>3.6545136596503464E-2</v>
      </c>
      <c r="I168" s="50"/>
      <c r="J168" s="50"/>
      <c r="K168" s="50"/>
    </row>
    <row r="169" spans="2:11" x14ac:dyDescent="0.2">
      <c r="B169" s="57">
        <v>779963.6875</v>
      </c>
      <c r="C169" s="28" t="s">
        <v>23</v>
      </c>
      <c r="D169" s="8" t="s">
        <v>81</v>
      </c>
      <c r="E169" s="56" t="s">
        <v>65</v>
      </c>
      <c r="F169" s="51">
        <v>756869.95200000005</v>
      </c>
      <c r="G169" s="28">
        <f t="shared" si="12"/>
        <v>2</v>
      </c>
      <c r="H169" s="20">
        <f t="shared" si="10"/>
        <v>2.9608731624444953E-2</v>
      </c>
      <c r="I169" s="50"/>
      <c r="J169" s="50"/>
      <c r="K169" s="50"/>
    </row>
    <row r="170" spans="2:11" x14ac:dyDescent="0.2">
      <c r="B170" s="57">
        <v>779963.6875</v>
      </c>
      <c r="C170" s="28" t="s">
        <v>23</v>
      </c>
      <c r="D170" s="8" t="s">
        <v>82</v>
      </c>
      <c r="E170" s="56" t="s">
        <v>66</v>
      </c>
      <c r="F170" s="51">
        <v>754627.35800000001</v>
      </c>
      <c r="G170" s="28">
        <f t="shared" si="12"/>
        <v>4</v>
      </c>
      <c r="H170" s="20">
        <f t="shared" si="10"/>
        <v>3.248398599325817E-2</v>
      </c>
      <c r="I170" s="50"/>
      <c r="J170" s="50"/>
      <c r="K170" s="50"/>
    </row>
    <row r="171" spans="2:11" x14ac:dyDescent="0.2">
      <c r="B171" s="57">
        <v>779963.6875</v>
      </c>
      <c r="C171" s="28" t="s">
        <v>23</v>
      </c>
      <c r="D171" s="8" t="s">
        <v>83</v>
      </c>
      <c r="E171" s="56" t="s">
        <v>67</v>
      </c>
      <c r="F171" s="52">
        <v>757092.54399999999</v>
      </c>
      <c r="G171" s="28">
        <f t="shared" si="12"/>
        <v>1</v>
      </c>
      <c r="H171" s="20">
        <f t="shared" si="10"/>
        <v>2.9323343979395202E-2</v>
      </c>
      <c r="I171" s="49"/>
      <c r="J171" s="49"/>
      <c r="K171" s="49"/>
    </row>
    <row r="172" spans="2:11" x14ac:dyDescent="0.2">
      <c r="B172" s="57">
        <v>779963.6875</v>
      </c>
      <c r="C172" s="28" t="s">
        <v>23</v>
      </c>
      <c r="D172" s="8" t="s">
        <v>84</v>
      </c>
      <c r="E172" s="56" t="s">
        <v>68</v>
      </c>
      <c r="F172" s="51">
        <v>756752.06</v>
      </c>
      <c r="G172" s="28">
        <f t="shared" si="12"/>
        <v>3</v>
      </c>
      <c r="H172" s="20">
        <f t="shared" si="10"/>
        <v>2.9759882250928436E-2</v>
      </c>
      <c r="I172" s="50"/>
      <c r="J172" s="50"/>
      <c r="K172" s="50"/>
    </row>
    <row r="173" spans="2:11" x14ac:dyDescent="0.2">
      <c r="B173" s="67"/>
      <c r="C173" s="16" t="s">
        <v>2</v>
      </c>
      <c r="D173" s="15" t="s">
        <v>2</v>
      </c>
      <c r="E173" s="47" t="s">
        <v>2</v>
      </c>
      <c r="F173" s="17" t="s">
        <v>2</v>
      </c>
      <c r="G173" s="16" t="s">
        <v>38</v>
      </c>
      <c r="H173" s="38" t="e">
        <f>(B173-F173) / B173</f>
        <v>#VALUE!</v>
      </c>
    </row>
    <row r="174" spans="2:11" x14ac:dyDescent="0.2">
      <c r="B174" s="57">
        <v>24884110</v>
      </c>
      <c r="C174" s="28" t="s">
        <v>4</v>
      </c>
      <c r="D174" s="8" t="s">
        <v>45</v>
      </c>
      <c r="E174" s="55" t="s">
        <v>49</v>
      </c>
      <c r="F174" s="51">
        <v>22803610</v>
      </c>
      <c r="G174" s="28">
        <f>_xlfn.RANK.EQ(F174,$F$174:$F$193,0)</f>
        <v>19</v>
      </c>
      <c r="H174" s="20">
        <f t="shared" si="10"/>
        <v>8.3607571257320434E-2</v>
      </c>
      <c r="I174" s="49"/>
      <c r="J174" s="49"/>
      <c r="K174" s="49"/>
    </row>
    <row r="175" spans="2:11" x14ac:dyDescent="0.2">
      <c r="B175" s="57">
        <v>24884110</v>
      </c>
      <c r="C175" s="28" t="s">
        <v>4</v>
      </c>
      <c r="D175" s="8" t="s">
        <v>46</v>
      </c>
      <c r="E175" s="55" t="s">
        <v>52</v>
      </c>
      <c r="F175" s="51">
        <v>22800075.199999999</v>
      </c>
      <c r="G175" s="28">
        <f t="shared" ref="G175:G193" si="13">_xlfn.RANK.EQ(F175,$F$174:$F$193,0)</f>
        <v>20</v>
      </c>
      <c r="H175" s="20">
        <f t="shared" si="10"/>
        <v>8.3749621746568428E-2</v>
      </c>
      <c r="I175" s="50"/>
      <c r="J175" s="50"/>
      <c r="K175" s="50"/>
    </row>
    <row r="176" spans="2:11" x14ac:dyDescent="0.2">
      <c r="B176" s="57">
        <v>24884110</v>
      </c>
      <c r="C176" s="28" t="s">
        <v>4</v>
      </c>
      <c r="D176" s="8" t="s">
        <v>47</v>
      </c>
      <c r="E176" s="55" t="s">
        <v>50</v>
      </c>
      <c r="F176" s="51">
        <v>22865221.399999999</v>
      </c>
      <c r="G176" s="28">
        <f t="shared" si="13"/>
        <v>17</v>
      </c>
      <c r="H176" s="20">
        <f t="shared" si="10"/>
        <v>8.1131637820279753E-2</v>
      </c>
      <c r="I176" s="50"/>
      <c r="J176" s="50"/>
      <c r="K176" s="50"/>
    </row>
    <row r="177" spans="2:11" x14ac:dyDescent="0.2">
      <c r="B177" s="57">
        <v>24884110</v>
      </c>
      <c r="C177" s="28" t="s">
        <v>4</v>
      </c>
      <c r="D177" s="8" t="s">
        <v>48</v>
      </c>
      <c r="E177" s="55" t="s">
        <v>51</v>
      </c>
      <c r="F177" s="51">
        <v>22847852</v>
      </c>
      <c r="G177" s="28">
        <f t="shared" si="13"/>
        <v>18</v>
      </c>
      <c r="H177" s="20">
        <f t="shared" si="10"/>
        <v>8.1829649523330356E-2</v>
      </c>
      <c r="I177" s="50"/>
      <c r="J177" s="50"/>
      <c r="K177" s="50"/>
    </row>
    <row r="178" spans="2:11" x14ac:dyDescent="0.2">
      <c r="B178" s="57">
        <v>24884110</v>
      </c>
      <c r="C178" s="28" t="s">
        <v>4</v>
      </c>
      <c r="D178" s="8" t="s">
        <v>70</v>
      </c>
      <c r="E178" s="55" t="s">
        <v>53</v>
      </c>
      <c r="F178" s="51">
        <v>23238931.600000001</v>
      </c>
      <c r="G178" s="28">
        <f t="shared" si="13"/>
        <v>14</v>
      </c>
      <c r="H178" s="20">
        <f t="shared" si="10"/>
        <v>6.6113612260997018E-2</v>
      </c>
      <c r="I178" s="50"/>
      <c r="J178" s="50"/>
      <c r="K178" s="50"/>
    </row>
    <row r="179" spans="2:11" x14ac:dyDescent="0.2">
      <c r="B179" s="57">
        <v>24884110</v>
      </c>
      <c r="C179" s="28" t="s">
        <v>4</v>
      </c>
      <c r="D179" s="8" t="s">
        <v>71</v>
      </c>
      <c r="E179" s="55" t="s">
        <v>54</v>
      </c>
      <c r="F179" s="51">
        <v>23231949.600000001</v>
      </c>
      <c r="G179" s="28">
        <f t="shared" si="13"/>
        <v>15</v>
      </c>
      <c r="H179" s="20">
        <f t="shared" si="10"/>
        <v>6.6394192920703157E-2</v>
      </c>
      <c r="I179" s="50"/>
      <c r="J179" s="50"/>
      <c r="K179" s="50"/>
    </row>
    <row r="180" spans="2:11" x14ac:dyDescent="0.2">
      <c r="B180" s="57">
        <v>24884110</v>
      </c>
      <c r="C180" s="28" t="s">
        <v>4</v>
      </c>
      <c r="D180" s="8" t="s">
        <v>72</v>
      </c>
      <c r="E180" s="55" t="s">
        <v>55</v>
      </c>
      <c r="F180" s="51">
        <v>23243383</v>
      </c>
      <c r="G180" s="28">
        <f t="shared" si="13"/>
        <v>13</v>
      </c>
      <c r="H180" s="20">
        <f t="shared" si="10"/>
        <v>6.5934727020576581E-2</v>
      </c>
      <c r="I180" s="50"/>
      <c r="J180" s="50"/>
      <c r="K180" s="50"/>
    </row>
    <row r="181" spans="2:11" x14ac:dyDescent="0.2">
      <c r="B181" s="57">
        <v>24884110</v>
      </c>
      <c r="C181" s="28" t="s">
        <v>4</v>
      </c>
      <c r="D181" s="8" t="s">
        <v>69</v>
      </c>
      <c r="E181" s="55" t="s">
        <v>56</v>
      </c>
      <c r="F181" s="51">
        <v>23224957</v>
      </c>
      <c r="G181" s="28">
        <f t="shared" si="13"/>
        <v>16</v>
      </c>
      <c r="H181" s="20">
        <f t="shared" si="10"/>
        <v>6.6675199555057421E-2</v>
      </c>
      <c r="I181" s="50"/>
      <c r="J181" s="50"/>
      <c r="K181" s="50"/>
    </row>
    <row r="182" spans="2:11" x14ac:dyDescent="0.2">
      <c r="B182" s="57">
        <v>24884110</v>
      </c>
      <c r="C182" s="28" t="s">
        <v>4</v>
      </c>
      <c r="D182" s="8" t="s">
        <v>73</v>
      </c>
      <c r="E182" s="55" t="s">
        <v>57</v>
      </c>
      <c r="F182" s="51">
        <v>23649715</v>
      </c>
      <c r="G182" s="28">
        <f t="shared" si="13"/>
        <v>12</v>
      </c>
      <c r="H182" s="20">
        <f t="shared" si="10"/>
        <v>4.9605752425945712E-2</v>
      </c>
      <c r="I182" s="50"/>
      <c r="J182" s="50"/>
      <c r="K182" s="50"/>
    </row>
    <row r="183" spans="2:11" x14ac:dyDescent="0.2">
      <c r="B183" s="57">
        <v>24884110</v>
      </c>
      <c r="C183" s="28" t="s">
        <v>4</v>
      </c>
      <c r="D183" s="8" t="s">
        <v>74</v>
      </c>
      <c r="E183" s="55" t="s">
        <v>58</v>
      </c>
      <c r="F183" s="51">
        <v>23683208.600000001</v>
      </c>
      <c r="G183" s="28">
        <f t="shared" si="13"/>
        <v>10</v>
      </c>
      <c r="H183" s="20">
        <f t="shared" si="10"/>
        <v>4.8259768985107303E-2</v>
      </c>
      <c r="I183" s="50"/>
      <c r="J183" s="50"/>
      <c r="K183" s="50"/>
    </row>
    <row r="184" spans="2:11" x14ac:dyDescent="0.2">
      <c r="B184" s="57">
        <v>24884110</v>
      </c>
      <c r="C184" s="28" t="s">
        <v>4</v>
      </c>
      <c r="D184" s="8" t="s">
        <v>75</v>
      </c>
      <c r="E184" s="55" t="s">
        <v>59</v>
      </c>
      <c r="F184" s="51">
        <v>23706122.399999999</v>
      </c>
      <c r="G184" s="28">
        <f t="shared" si="13"/>
        <v>9</v>
      </c>
      <c r="H184" s="20">
        <f t="shared" si="10"/>
        <v>4.7338948429339105E-2</v>
      </c>
      <c r="I184" s="50"/>
      <c r="J184" s="50"/>
      <c r="K184" s="50"/>
    </row>
    <row r="185" spans="2:11" x14ac:dyDescent="0.2">
      <c r="B185" s="57">
        <v>24884110</v>
      </c>
      <c r="C185" s="28" t="s">
        <v>4</v>
      </c>
      <c r="D185" s="8" t="s">
        <v>76</v>
      </c>
      <c r="E185" s="55" t="s">
        <v>60</v>
      </c>
      <c r="F185" s="51">
        <v>23673217.600000001</v>
      </c>
      <c r="G185" s="28">
        <f t="shared" si="13"/>
        <v>11</v>
      </c>
      <c r="H185" s="20">
        <f t="shared" si="10"/>
        <v>4.8661270184065193E-2</v>
      </c>
      <c r="I185" s="50"/>
      <c r="J185" s="50"/>
      <c r="K185" s="50"/>
    </row>
    <row r="186" spans="2:11" x14ac:dyDescent="0.2">
      <c r="B186" s="57">
        <v>24884110</v>
      </c>
      <c r="C186" s="28" t="s">
        <v>4</v>
      </c>
      <c r="D186" s="8" t="s">
        <v>77</v>
      </c>
      <c r="E186" s="56" t="s">
        <v>61</v>
      </c>
      <c r="F186" s="52">
        <v>23857145.800000001</v>
      </c>
      <c r="G186" s="28">
        <f t="shared" si="13"/>
        <v>5</v>
      </c>
      <c r="H186" s="20">
        <f t="shared" si="10"/>
        <v>4.1269878649467441E-2</v>
      </c>
      <c r="I186" s="50"/>
      <c r="J186" s="50"/>
      <c r="K186" s="50"/>
    </row>
    <row r="187" spans="2:11" x14ac:dyDescent="0.2">
      <c r="B187" s="57">
        <v>24884110</v>
      </c>
      <c r="C187" s="28" t="s">
        <v>4</v>
      </c>
      <c r="D187" s="8" t="s">
        <v>78</v>
      </c>
      <c r="E187" s="56" t="s">
        <v>62</v>
      </c>
      <c r="F187" s="51">
        <v>23844479.199999999</v>
      </c>
      <c r="G187" s="28">
        <f t="shared" si="13"/>
        <v>6</v>
      </c>
      <c r="H187" s="20">
        <f t="shared" si="10"/>
        <v>4.1778902279406449E-2</v>
      </c>
      <c r="I187" s="49"/>
      <c r="J187" s="49"/>
      <c r="K187" s="49"/>
    </row>
    <row r="188" spans="2:11" x14ac:dyDescent="0.2">
      <c r="B188" s="57">
        <v>24884110</v>
      </c>
      <c r="C188" s="28" t="s">
        <v>4</v>
      </c>
      <c r="D188" s="8" t="s">
        <v>79</v>
      </c>
      <c r="E188" s="56" t="s">
        <v>63</v>
      </c>
      <c r="F188" s="51">
        <v>23807574.800000001</v>
      </c>
      <c r="G188" s="28">
        <f t="shared" si="13"/>
        <v>8</v>
      </c>
      <c r="H188" s="20">
        <f t="shared" si="10"/>
        <v>4.3261953109835924E-2</v>
      </c>
      <c r="I188" s="50"/>
      <c r="J188" s="50"/>
      <c r="K188" s="50"/>
    </row>
    <row r="189" spans="2:11" x14ac:dyDescent="0.2">
      <c r="B189" s="57">
        <v>24884110</v>
      </c>
      <c r="C189" s="28" t="s">
        <v>4</v>
      </c>
      <c r="D189" s="8" t="s">
        <v>80</v>
      </c>
      <c r="E189" s="56" t="s">
        <v>64</v>
      </c>
      <c r="F189" s="53">
        <v>23829814</v>
      </c>
      <c r="G189" s="28">
        <f t="shared" si="13"/>
        <v>7</v>
      </c>
      <c r="H189" s="20">
        <f t="shared" si="10"/>
        <v>4.2368242223651958E-2</v>
      </c>
      <c r="I189" s="50"/>
      <c r="J189" s="50"/>
      <c r="K189" s="50"/>
    </row>
    <row r="190" spans="2:11" x14ac:dyDescent="0.2">
      <c r="B190" s="57">
        <v>24884110</v>
      </c>
      <c r="C190" s="28" t="s">
        <v>4</v>
      </c>
      <c r="D190" s="8" t="s">
        <v>81</v>
      </c>
      <c r="E190" s="56" t="s">
        <v>65</v>
      </c>
      <c r="F190" s="53">
        <v>23980190.399999999</v>
      </c>
      <c r="G190" s="28">
        <f t="shared" si="13"/>
        <v>1</v>
      </c>
      <c r="H190" s="20">
        <f t="shared" si="10"/>
        <v>3.6325172971828266E-2</v>
      </c>
    </row>
    <row r="191" spans="2:11" x14ac:dyDescent="0.2">
      <c r="B191" s="57">
        <v>24884110</v>
      </c>
      <c r="C191" s="28" t="s">
        <v>4</v>
      </c>
      <c r="D191" s="8" t="s">
        <v>82</v>
      </c>
      <c r="E191" s="56" t="s">
        <v>66</v>
      </c>
      <c r="F191" s="53">
        <v>23960759.199999999</v>
      </c>
      <c r="G191" s="28">
        <f t="shared" si="13"/>
        <v>3</v>
      </c>
      <c r="H191" s="20">
        <f t="shared" si="10"/>
        <v>3.7106040762558946E-2</v>
      </c>
    </row>
    <row r="192" spans="2:11" x14ac:dyDescent="0.2">
      <c r="B192" s="57">
        <v>24884110</v>
      </c>
      <c r="C192" s="28" t="s">
        <v>4</v>
      </c>
      <c r="D192" s="8" t="s">
        <v>83</v>
      </c>
      <c r="E192" s="56" t="s">
        <v>67</v>
      </c>
      <c r="F192" s="53">
        <v>23973742</v>
      </c>
      <c r="G192" s="28">
        <f t="shared" si="13"/>
        <v>2</v>
      </c>
      <c r="H192" s="20">
        <f t="shared" si="10"/>
        <v>3.6584310228495211E-2</v>
      </c>
    </row>
    <row r="193" spans="2:11" x14ac:dyDescent="0.2">
      <c r="B193" s="57">
        <v>24884110</v>
      </c>
      <c r="C193" s="28" t="s">
        <v>4</v>
      </c>
      <c r="D193" s="8" t="s">
        <v>84</v>
      </c>
      <c r="E193" s="56" t="s">
        <v>68</v>
      </c>
      <c r="F193" s="53">
        <v>23946476</v>
      </c>
      <c r="G193" s="28">
        <f t="shared" si="13"/>
        <v>4</v>
      </c>
      <c r="H193" s="20">
        <f t="shared" si="10"/>
        <v>3.768002954495861E-2</v>
      </c>
    </row>
    <row r="194" spans="2:11" x14ac:dyDescent="0.2">
      <c r="B194" s="67"/>
      <c r="C194" s="16" t="s">
        <v>2</v>
      </c>
      <c r="D194" s="15" t="s">
        <v>2</v>
      </c>
      <c r="E194" s="47" t="s">
        <v>2</v>
      </c>
      <c r="F194" s="17" t="s">
        <v>2</v>
      </c>
      <c r="G194" s="16" t="s">
        <v>38</v>
      </c>
      <c r="H194" s="38" t="e">
        <f>(B194-F194) / B194</f>
        <v>#VALUE!</v>
      </c>
    </row>
    <row r="195" spans="2:11" x14ac:dyDescent="0.2">
      <c r="B195" s="57">
        <v>24905330</v>
      </c>
      <c r="C195" s="28" t="s">
        <v>28</v>
      </c>
      <c r="D195" s="8" t="s">
        <v>45</v>
      </c>
      <c r="E195" s="55" t="s">
        <v>49</v>
      </c>
      <c r="F195" s="51">
        <v>22820789.199999999</v>
      </c>
      <c r="G195" s="28">
        <f>_xlfn.RANK.EQ(F195,$F$195:$F$214,0)</f>
        <v>18</v>
      </c>
      <c r="H195" s="20">
        <f>(B195-F195) / B195</f>
        <v>8.3698581789520582E-2</v>
      </c>
      <c r="I195" s="49"/>
      <c r="J195" s="49"/>
      <c r="K195" s="49"/>
    </row>
    <row r="196" spans="2:11" x14ac:dyDescent="0.2">
      <c r="B196" s="57">
        <v>24905330</v>
      </c>
      <c r="C196" s="28" t="s">
        <v>28</v>
      </c>
      <c r="D196" s="8" t="s">
        <v>46</v>
      </c>
      <c r="E196" s="55" t="s">
        <v>52</v>
      </c>
      <c r="F196" s="51">
        <v>22799502.800000001</v>
      </c>
      <c r="G196" s="28">
        <f t="shared" ref="G196:G214" si="14">_xlfn.RANK.EQ(F196,$F$195:$F$214,0)</f>
        <v>20</v>
      </c>
      <c r="H196" s="20">
        <f t="shared" ref="H196:H214" si="15">(B196-F196) / B196</f>
        <v>8.4553274339267903E-2</v>
      </c>
      <c r="I196" s="50"/>
      <c r="J196" s="50"/>
      <c r="K196" s="50"/>
    </row>
    <row r="197" spans="2:11" x14ac:dyDescent="0.2">
      <c r="B197" s="57">
        <v>24905330</v>
      </c>
      <c r="C197" s="28" t="s">
        <v>28</v>
      </c>
      <c r="D197" s="8" t="s">
        <v>47</v>
      </c>
      <c r="E197" s="55" t="s">
        <v>50</v>
      </c>
      <c r="F197" s="51">
        <v>22871384.199999999</v>
      </c>
      <c r="G197" s="28">
        <f t="shared" si="14"/>
        <v>17</v>
      </c>
      <c r="H197" s="20">
        <f t="shared" si="15"/>
        <v>8.1667088932369125E-2</v>
      </c>
      <c r="I197" s="50"/>
      <c r="J197" s="50"/>
      <c r="K197" s="50"/>
    </row>
    <row r="198" spans="2:11" x14ac:dyDescent="0.2">
      <c r="B198" s="57">
        <v>24905330</v>
      </c>
      <c r="C198" s="28" t="s">
        <v>28</v>
      </c>
      <c r="D198" s="8" t="s">
        <v>48</v>
      </c>
      <c r="E198" s="55" t="s">
        <v>51</v>
      </c>
      <c r="F198" s="51">
        <v>22813180.800000001</v>
      </c>
      <c r="G198" s="28">
        <f t="shared" si="14"/>
        <v>19</v>
      </c>
      <c r="H198" s="20">
        <f t="shared" si="15"/>
        <v>8.4004074629808134E-2</v>
      </c>
      <c r="I198" s="50"/>
      <c r="J198" s="50"/>
      <c r="K198" s="50"/>
    </row>
    <row r="199" spans="2:11" x14ac:dyDescent="0.2">
      <c r="B199" s="57">
        <v>24905330</v>
      </c>
      <c r="C199" s="28" t="s">
        <v>28</v>
      </c>
      <c r="D199" s="8" t="s">
        <v>70</v>
      </c>
      <c r="E199" s="55" t="s">
        <v>53</v>
      </c>
      <c r="F199" s="51">
        <v>23227475</v>
      </c>
      <c r="G199" s="28">
        <f t="shared" si="14"/>
        <v>16</v>
      </c>
      <c r="H199" s="20">
        <f t="shared" si="15"/>
        <v>6.7369314118704712E-2</v>
      </c>
      <c r="I199" s="50"/>
      <c r="J199" s="50"/>
      <c r="K199" s="50"/>
    </row>
    <row r="200" spans="2:11" x14ac:dyDescent="0.2">
      <c r="B200" s="57">
        <v>24905330</v>
      </c>
      <c r="C200" s="28" t="s">
        <v>28</v>
      </c>
      <c r="D200" s="8" t="s">
        <v>71</v>
      </c>
      <c r="E200" s="55" t="s">
        <v>54</v>
      </c>
      <c r="F200" s="51">
        <v>23240950.199999999</v>
      </c>
      <c r="G200" s="28">
        <f t="shared" si="14"/>
        <v>14</v>
      </c>
      <c r="H200" s="20">
        <f t="shared" si="15"/>
        <v>6.6828257244533631E-2</v>
      </c>
      <c r="I200" s="50"/>
      <c r="J200" s="50"/>
      <c r="K200" s="50"/>
    </row>
    <row r="201" spans="2:11" x14ac:dyDescent="0.2">
      <c r="B201" s="57">
        <v>24905330</v>
      </c>
      <c r="C201" s="28" t="s">
        <v>28</v>
      </c>
      <c r="D201" s="8" t="s">
        <v>72</v>
      </c>
      <c r="E201" s="55" t="s">
        <v>55</v>
      </c>
      <c r="F201" s="51">
        <v>23237411.800000001</v>
      </c>
      <c r="G201" s="28">
        <f t="shared" si="14"/>
        <v>15</v>
      </c>
      <c r="H201" s="20">
        <f t="shared" si="15"/>
        <v>6.6970331250378906E-2</v>
      </c>
      <c r="I201" s="50"/>
      <c r="J201" s="50"/>
      <c r="K201" s="50"/>
    </row>
    <row r="202" spans="2:11" x14ac:dyDescent="0.2">
      <c r="B202" s="57">
        <v>24905330</v>
      </c>
      <c r="C202" s="28" t="s">
        <v>28</v>
      </c>
      <c r="D202" s="8" t="s">
        <v>69</v>
      </c>
      <c r="E202" s="55" t="s">
        <v>56</v>
      </c>
      <c r="F202" s="51">
        <v>23255666</v>
      </c>
      <c r="G202" s="28">
        <f t="shared" si="14"/>
        <v>13</v>
      </c>
      <c r="H202" s="20">
        <f t="shared" si="15"/>
        <v>6.6237387739893433E-2</v>
      </c>
      <c r="I202" s="50"/>
      <c r="J202" s="50"/>
      <c r="K202" s="50"/>
    </row>
    <row r="203" spans="2:11" x14ac:dyDescent="0.2">
      <c r="B203" s="57">
        <v>24905330</v>
      </c>
      <c r="C203" s="28" t="s">
        <v>28</v>
      </c>
      <c r="D203" s="8" t="s">
        <v>73</v>
      </c>
      <c r="E203" s="55" t="s">
        <v>57</v>
      </c>
      <c r="F203" s="51">
        <v>23676478.199999999</v>
      </c>
      <c r="G203" s="28">
        <f t="shared" si="14"/>
        <v>10</v>
      </c>
      <c r="H203" s="20">
        <f t="shared" si="15"/>
        <v>4.9340916181395737E-2</v>
      </c>
      <c r="I203" s="50"/>
      <c r="J203" s="50"/>
      <c r="K203" s="50"/>
    </row>
    <row r="204" spans="2:11" x14ac:dyDescent="0.2">
      <c r="B204" s="57">
        <v>24905330</v>
      </c>
      <c r="C204" s="28" t="s">
        <v>28</v>
      </c>
      <c r="D204" s="8" t="s">
        <v>74</v>
      </c>
      <c r="E204" s="55" t="s">
        <v>58</v>
      </c>
      <c r="F204" s="51">
        <v>23633875.399999999</v>
      </c>
      <c r="G204" s="28">
        <f t="shared" si="14"/>
        <v>12</v>
      </c>
      <c r="H204" s="20">
        <f t="shared" si="15"/>
        <v>5.105150584232377E-2</v>
      </c>
      <c r="I204" s="50"/>
      <c r="J204" s="50"/>
      <c r="K204" s="50"/>
    </row>
    <row r="205" spans="2:11" x14ac:dyDescent="0.2">
      <c r="B205" s="57">
        <v>24905330</v>
      </c>
      <c r="C205" s="28" t="s">
        <v>28</v>
      </c>
      <c r="D205" s="8" t="s">
        <v>75</v>
      </c>
      <c r="E205" s="55" t="s">
        <v>59</v>
      </c>
      <c r="F205" s="52">
        <v>23695246.399999999</v>
      </c>
      <c r="G205" s="28">
        <f t="shared" si="14"/>
        <v>9</v>
      </c>
      <c r="H205" s="20">
        <f t="shared" si="15"/>
        <v>4.8587334518354161E-2</v>
      </c>
      <c r="I205" s="50"/>
      <c r="J205" s="50"/>
      <c r="K205" s="50"/>
    </row>
    <row r="206" spans="2:11" x14ac:dyDescent="0.2">
      <c r="B206" s="57">
        <v>24905330</v>
      </c>
      <c r="C206" s="28" t="s">
        <v>28</v>
      </c>
      <c r="D206" s="8" t="s">
        <v>76</v>
      </c>
      <c r="E206" s="55" t="s">
        <v>60</v>
      </c>
      <c r="F206" s="51">
        <v>23651879</v>
      </c>
      <c r="G206" s="28">
        <f t="shared" si="14"/>
        <v>11</v>
      </c>
      <c r="H206" s="20">
        <f t="shared" si="15"/>
        <v>5.0328624435010495E-2</v>
      </c>
      <c r="I206" s="49"/>
      <c r="J206" s="49"/>
      <c r="K206" s="49"/>
    </row>
    <row r="207" spans="2:11" x14ac:dyDescent="0.2">
      <c r="B207" s="57">
        <v>24905330</v>
      </c>
      <c r="C207" s="28" t="s">
        <v>28</v>
      </c>
      <c r="D207" s="8" t="s">
        <v>77</v>
      </c>
      <c r="E207" s="56" t="s">
        <v>61</v>
      </c>
      <c r="F207" s="53">
        <v>23822617.600000001</v>
      </c>
      <c r="G207" s="28">
        <f t="shared" si="14"/>
        <v>8</v>
      </c>
      <c r="H207" s="20">
        <f t="shared" si="15"/>
        <v>4.3473120010857055E-2</v>
      </c>
      <c r="I207" s="50"/>
      <c r="J207" s="50"/>
      <c r="K207" s="50"/>
    </row>
    <row r="208" spans="2:11" x14ac:dyDescent="0.2">
      <c r="B208" s="57">
        <v>24905330</v>
      </c>
      <c r="C208" s="28" t="s">
        <v>28</v>
      </c>
      <c r="D208" s="8" t="s">
        <v>78</v>
      </c>
      <c r="E208" s="56" t="s">
        <v>62</v>
      </c>
      <c r="F208" s="53">
        <v>23853583.199999999</v>
      </c>
      <c r="G208" s="28">
        <f t="shared" si="14"/>
        <v>5</v>
      </c>
      <c r="H208" s="20">
        <f t="shared" si="15"/>
        <v>4.2229787760290696E-2</v>
      </c>
    </row>
    <row r="209" spans="2:8" x14ac:dyDescent="0.2">
      <c r="B209" s="57">
        <v>24905330</v>
      </c>
      <c r="C209" s="28" t="s">
        <v>28</v>
      </c>
      <c r="D209" s="8" t="s">
        <v>79</v>
      </c>
      <c r="E209" s="56" t="s">
        <v>63</v>
      </c>
      <c r="F209" s="53">
        <v>23836963.600000001</v>
      </c>
      <c r="G209" s="28">
        <f t="shared" si="14"/>
        <v>7</v>
      </c>
      <c r="H209" s="20">
        <f t="shared" si="15"/>
        <v>4.28970987334839E-2</v>
      </c>
    </row>
    <row r="210" spans="2:8" x14ac:dyDescent="0.2">
      <c r="B210" s="57">
        <v>24905330</v>
      </c>
      <c r="C210" s="28" t="s">
        <v>28</v>
      </c>
      <c r="D210" s="8" t="s">
        <v>80</v>
      </c>
      <c r="E210" s="56" t="s">
        <v>64</v>
      </c>
      <c r="F210" s="53">
        <v>23850810</v>
      </c>
      <c r="G210" s="28">
        <f t="shared" si="14"/>
        <v>6</v>
      </c>
      <c r="H210" s="20">
        <f t="shared" si="15"/>
        <v>4.2341137419178949E-2</v>
      </c>
    </row>
    <row r="211" spans="2:8" x14ac:dyDescent="0.2">
      <c r="B211" s="57">
        <v>24905330</v>
      </c>
      <c r="C211" s="28" t="s">
        <v>28</v>
      </c>
      <c r="D211" s="8" t="s">
        <v>81</v>
      </c>
      <c r="E211" s="56" t="s">
        <v>65</v>
      </c>
      <c r="F211" s="53">
        <v>23960924.800000001</v>
      </c>
      <c r="G211" s="28">
        <f t="shared" si="14"/>
        <v>3</v>
      </c>
      <c r="H211" s="20">
        <f t="shared" si="15"/>
        <v>3.7919802708898026E-2</v>
      </c>
    </row>
    <row r="212" spans="2:8" x14ac:dyDescent="0.2">
      <c r="B212" s="57">
        <v>24905330</v>
      </c>
      <c r="C212" s="28" t="s">
        <v>28</v>
      </c>
      <c r="D212" s="8" t="s">
        <v>82</v>
      </c>
      <c r="E212" s="56" t="s">
        <v>66</v>
      </c>
      <c r="F212" s="53">
        <v>23971672.399999999</v>
      </c>
      <c r="G212" s="28">
        <f t="shared" si="14"/>
        <v>2</v>
      </c>
      <c r="H212" s="20">
        <f t="shared" si="15"/>
        <v>3.7488264560236767E-2</v>
      </c>
    </row>
    <row r="213" spans="2:8" x14ac:dyDescent="0.2">
      <c r="B213" s="57">
        <v>24905330</v>
      </c>
      <c r="C213" s="28" t="s">
        <v>28</v>
      </c>
      <c r="D213" s="8" t="s">
        <v>83</v>
      </c>
      <c r="E213" s="56" t="s">
        <v>67</v>
      </c>
      <c r="F213" s="53">
        <v>23958881.600000001</v>
      </c>
      <c r="G213" s="28">
        <f t="shared" si="14"/>
        <v>4</v>
      </c>
      <c r="H213" s="20">
        <f t="shared" si="15"/>
        <v>3.8001841372910877E-2</v>
      </c>
    </row>
    <row r="214" spans="2:8" ht="17" thickBot="1" x14ac:dyDescent="0.25">
      <c r="B214" s="62">
        <v>24905330</v>
      </c>
      <c r="C214" s="43" t="s">
        <v>28</v>
      </c>
      <c r="D214" s="63" t="s">
        <v>84</v>
      </c>
      <c r="E214" s="64" t="s">
        <v>68</v>
      </c>
      <c r="F214" s="65">
        <v>23977929.199999999</v>
      </c>
      <c r="G214" s="43">
        <f t="shared" si="14"/>
        <v>1</v>
      </c>
      <c r="H214" s="44">
        <f t="shared" si="15"/>
        <v>3.7237041227721167E-2</v>
      </c>
    </row>
  </sheetData>
  <mergeCells count="6">
    <mergeCell ref="B4:B5"/>
    <mergeCell ref="C4:C5"/>
    <mergeCell ref="D4:D5"/>
    <mergeCell ref="G4:G5"/>
    <mergeCell ref="B1:D1"/>
    <mergeCell ref="E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A291-55AF-6F46-BCA9-1C4267C56D1F}">
  <dimension ref="B1:O54"/>
  <sheetViews>
    <sheetView showGridLines="0" workbookViewId="0">
      <selection activeCell="M15" sqref="M15"/>
    </sheetView>
  </sheetViews>
  <sheetFormatPr baseColWidth="10" defaultRowHeight="16" x14ac:dyDescent="0.2"/>
  <cols>
    <col min="3" max="3" width="22.33203125" bestFit="1" customWidth="1"/>
    <col min="4" max="7" width="11" bestFit="1" customWidth="1"/>
    <col min="8" max="8" width="14.1640625" bestFit="1" customWidth="1"/>
    <col min="11" max="15" width="11" bestFit="1" customWidth="1"/>
  </cols>
  <sheetData>
    <row r="1" spans="2:15" x14ac:dyDescent="0.2">
      <c r="B1" s="142" t="s">
        <v>106</v>
      </c>
      <c r="C1" s="142"/>
      <c r="D1" s="142"/>
      <c r="E1" s="142"/>
      <c r="F1" s="142"/>
      <c r="G1" s="142"/>
      <c r="H1" s="142"/>
    </row>
    <row r="2" spans="2:15" x14ac:dyDescent="0.2">
      <c r="B2" s="24"/>
      <c r="C2" s="24"/>
      <c r="D2" s="24"/>
      <c r="E2" s="24"/>
      <c r="F2" s="24"/>
      <c r="G2" s="24"/>
      <c r="H2" s="24"/>
    </row>
    <row r="3" spans="2:15" ht="17" thickBot="1" x14ac:dyDescent="0.25">
      <c r="B3" s="24"/>
      <c r="C3" s="24"/>
      <c r="D3" s="24"/>
      <c r="E3" s="24"/>
      <c r="F3" s="24"/>
      <c r="G3" s="24"/>
      <c r="H3" s="24"/>
    </row>
    <row r="4" spans="2:15" x14ac:dyDescent="0.2">
      <c r="B4" s="136" t="s">
        <v>33</v>
      </c>
      <c r="C4" s="138" t="s">
        <v>0</v>
      </c>
      <c r="D4" s="140" t="s">
        <v>1</v>
      </c>
      <c r="E4" s="138" t="s">
        <v>40</v>
      </c>
      <c r="F4" s="9" t="s">
        <v>34</v>
      </c>
      <c r="G4" s="5" t="s">
        <v>42</v>
      </c>
      <c r="H4" s="2" t="s">
        <v>36</v>
      </c>
      <c r="J4" s="49"/>
      <c r="K4" s="49"/>
      <c r="L4" s="49"/>
      <c r="M4" s="49"/>
      <c r="N4" s="49"/>
      <c r="O4" s="49"/>
    </row>
    <row r="5" spans="2:15" ht="17" thickBot="1" x14ac:dyDescent="0.25">
      <c r="B5" s="143"/>
      <c r="C5" s="144"/>
      <c r="D5" s="145"/>
      <c r="E5" s="144"/>
      <c r="F5" s="10" t="s">
        <v>35</v>
      </c>
      <c r="G5" s="60" t="s">
        <v>43</v>
      </c>
      <c r="H5" s="61" t="s">
        <v>37</v>
      </c>
      <c r="J5" s="49"/>
      <c r="K5" s="49"/>
      <c r="L5" s="49"/>
      <c r="M5" s="49"/>
      <c r="N5" s="49"/>
      <c r="O5" s="49"/>
    </row>
    <row r="6" spans="2:15" x14ac:dyDescent="0.2">
      <c r="B6" s="37">
        <v>19485.1875</v>
      </c>
      <c r="C6" s="13" t="s">
        <v>6</v>
      </c>
      <c r="D6" s="21">
        <v>50</v>
      </c>
      <c r="E6" s="13">
        <v>1</v>
      </c>
      <c r="F6" s="69">
        <v>19445.659908000001</v>
      </c>
      <c r="G6" s="13">
        <f>IF(MAX(F$6:F$9)=F6,1,0)</f>
        <v>0</v>
      </c>
      <c r="H6" s="20">
        <f>(B6-F6) / B6</f>
        <v>2.028596953454954E-3</v>
      </c>
      <c r="J6" s="49"/>
      <c r="K6" s="50"/>
      <c r="L6" s="50"/>
      <c r="M6" s="50"/>
      <c r="N6" s="50"/>
      <c r="O6" s="50"/>
    </row>
    <row r="7" spans="2:15" x14ac:dyDescent="0.2">
      <c r="B7" s="37">
        <v>19485.1875</v>
      </c>
      <c r="C7" s="13" t="s">
        <v>6</v>
      </c>
      <c r="D7" s="30">
        <v>100</v>
      </c>
      <c r="E7" s="13">
        <v>2</v>
      </c>
      <c r="F7" s="70">
        <v>19465.550620000002</v>
      </c>
      <c r="G7" s="13">
        <f>IF(MAX(F$6:F$9)=F7,1,0)</f>
        <v>0</v>
      </c>
      <c r="H7" s="20">
        <f>(B7-F7) / B7</f>
        <v>1.0077850161820717E-3</v>
      </c>
      <c r="J7" s="50"/>
      <c r="K7" s="50"/>
      <c r="L7" s="50"/>
      <c r="M7" s="50"/>
      <c r="N7" s="50"/>
      <c r="O7" s="50"/>
    </row>
    <row r="8" spans="2:15" x14ac:dyDescent="0.2">
      <c r="B8" s="37">
        <v>19485.1875</v>
      </c>
      <c r="C8" s="13" t="s">
        <v>6</v>
      </c>
      <c r="D8" s="30">
        <v>150</v>
      </c>
      <c r="E8" s="13">
        <v>3</v>
      </c>
      <c r="F8" s="70">
        <v>19475.076625999998</v>
      </c>
      <c r="G8" s="13">
        <f>IF(MAX(F$6:F$9)=F8,1,0)</f>
        <v>0</v>
      </c>
      <c r="H8" s="20">
        <f t="shared" ref="H8:H14" si="0">(B8-F8) / B8</f>
        <v>5.1890052379541056E-4</v>
      </c>
      <c r="J8" s="50"/>
      <c r="K8" s="50"/>
      <c r="L8" s="50"/>
      <c r="M8" s="50"/>
      <c r="N8" s="50"/>
      <c r="O8" s="50"/>
    </row>
    <row r="9" spans="2:15" x14ac:dyDescent="0.2">
      <c r="B9" s="37">
        <v>19485.1875</v>
      </c>
      <c r="C9" s="13" t="s">
        <v>6</v>
      </c>
      <c r="D9" s="30">
        <v>200</v>
      </c>
      <c r="E9" s="13">
        <v>4</v>
      </c>
      <c r="F9" s="71">
        <v>19479.802127999999</v>
      </c>
      <c r="G9" s="13">
        <f>IF(MAX(F$6:F$9)=F9,1,0)</f>
        <v>1</v>
      </c>
      <c r="H9" s="20">
        <f t="shared" si="0"/>
        <v>2.7638286775534716E-4</v>
      </c>
      <c r="J9" s="50"/>
      <c r="K9" s="50"/>
      <c r="L9" s="50"/>
      <c r="M9" s="49"/>
      <c r="N9" s="49"/>
      <c r="O9" s="50"/>
    </row>
    <row r="10" spans="2:15" x14ac:dyDescent="0.2">
      <c r="B10" s="14"/>
      <c r="C10" s="15" t="s">
        <v>2</v>
      </c>
      <c r="D10" s="16" t="s">
        <v>2</v>
      </c>
      <c r="E10" s="15" t="s">
        <v>2</v>
      </c>
      <c r="F10" s="33" t="s">
        <v>2</v>
      </c>
      <c r="G10" s="15" t="s">
        <v>38</v>
      </c>
      <c r="H10" s="38" t="e">
        <f>(B10-F10) / B10</f>
        <v>#VALUE!</v>
      </c>
      <c r="J10" s="50"/>
      <c r="K10" s="50"/>
      <c r="L10" s="50"/>
      <c r="M10" s="50"/>
      <c r="N10" s="50"/>
      <c r="O10" s="50"/>
    </row>
    <row r="11" spans="2:15" x14ac:dyDescent="0.2">
      <c r="B11" s="37">
        <v>19701.537110000001</v>
      </c>
      <c r="C11" s="18" t="s">
        <v>7</v>
      </c>
      <c r="D11" s="29">
        <v>50</v>
      </c>
      <c r="E11" s="13">
        <v>1</v>
      </c>
      <c r="F11" s="69">
        <v>19579.949142000001</v>
      </c>
      <c r="G11" s="18">
        <f>IF(MAX(F$11:F$14)=F11,1,0)</f>
        <v>0</v>
      </c>
      <c r="H11" s="20">
        <f t="shared" si="0"/>
        <v>6.171496534566577E-3</v>
      </c>
      <c r="J11" s="49"/>
      <c r="K11" s="50"/>
      <c r="L11" s="50"/>
      <c r="M11" s="50"/>
      <c r="N11" s="50"/>
      <c r="O11" s="50"/>
    </row>
    <row r="12" spans="2:15" x14ac:dyDescent="0.2">
      <c r="B12" s="37">
        <v>19701.537110000001</v>
      </c>
      <c r="C12" s="18" t="s">
        <v>7</v>
      </c>
      <c r="D12" s="30">
        <v>100</v>
      </c>
      <c r="E12" s="13">
        <v>2</v>
      </c>
      <c r="F12" s="70">
        <v>19662.303154000001</v>
      </c>
      <c r="G12" s="18">
        <f>IF(MAX(F$11:F$14)=F12,1,0)</f>
        <v>0</v>
      </c>
      <c r="H12" s="20">
        <f t="shared" si="0"/>
        <v>1.9914159885568456E-3</v>
      </c>
      <c r="J12" s="50"/>
      <c r="K12" s="50"/>
      <c r="L12" s="50"/>
      <c r="M12" s="50"/>
      <c r="N12" s="50"/>
      <c r="O12" s="50"/>
    </row>
    <row r="13" spans="2:15" x14ac:dyDescent="0.2">
      <c r="B13" s="37">
        <v>19701.537110000001</v>
      </c>
      <c r="C13" s="18" t="s">
        <v>7</v>
      </c>
      <c r="D13" s="30">
        <v>150</v>
      </c>
      <c r="E13" s="13">
        <v>3</v>
      </c>
      <c r="F13" s="71">
        <v>19673.825551999998</v>
      </c>
      <c r="G13" s="18">
        <f>IF(MAX(F$11:F$14)=F13,1,0)</f>
        <v>1</v>
      </c>
      <c r="H13" s="20">
        <f t="shared" si="0"/>
        <v>1.4065683223232878E-3</v>
      </c>
      <c r="J13" s="50"/>
      <c r="K13" s="50"/>
      <c r="L13" s="50"/>
      <c r="M13" s="49"/>
      <c r="N13" s="49"/>
      <c r="O13" s="50"/>
    </row>
    <row r="14" spans="2:15" x14ac:dyDescent="0.2">
      <c r="B14" s="37">
        <v>19701.537110000001</v>
      </c>
      <c r="C14" s="18" t="s">
        <v>7</v>
      </c>
      <c r="D14" s="30">
        <v>200</v>
      </c>
      <c r="E14" s="13">
        <v>4</v>
      </c>
      <c r="F14" s="72">
        <v>19673.440065999999</v>
      </c>
      <c r="G14" s="18">
        <f>IF(MAX(F$11:F$14)=F14,1,0)</f>
        <v>0</v>
      </c>
      <c r="H14" s="20">
        <f t="shared" si="0"/>
        <v>1.4261346129049275E-3</v>
      </c>
      <c r="J14" s="50"/>
      <c r="K14" s="50"/>
      <c r="L14" s="50"/>
      <c r="M14" s="50"/>
      <c r="N14" s="50"/>
      <c r="O14" s="50"/>
    </row>
    <row r="15" spans="2:15" x14ac:dyDescent="0.2">
      <c r="B15" s="14"/>
      <c r="C15" s="16" t="s">
        <v>2</v>
      </c>
      <c r="D15" s="16" t="s">
        <v>2</v>
      </c>
      <c r="E15" s="66" t="s">
        <v>2</v>
      </c>
      <c r="F15" s="33" t="s">
        <v>2</v>
      </c>
      <c r="G15" s="68" t="s">
        <v>38</v>
      </c>
      <c r="H15" s="38" t="e">
        <f>(B15-F15) / B15</f>
        <v>#VALUE!</v>
      </c>
      <c r="J15" s="50"/>
      <c r="K15" s="50"/>
      <c r="L15" s="50"/>
      <c r="M15" s="50"/>
      <c r="N15" s="50"/>
      <c r="O15" s="50"/>
    </row>
    <row r="16" spans="2:15" x14ac:dyDescent="0.2">
      <c r="B16" s="37">
        <v>333</v>
      </c>
      <c r="C16" s="13" t="s">
        <v>10</v>
      </c>
      <c r="D16" s="29">
        <v>50</v>
      </c>
      <c r="E16" s="13">
        <v>1</v>
      </c>
      <c r="F16" s="70">
        <v>312.2</v>
      </c>
      <c r="G16" s="13">
        <f>IF(MAX(F$16:F$19)=F16,1,0)</f>
        <v>0</v>
      </c>
      <c r="H16" s="20">
        <f t="shared" ref="H16:H34" si="1">(B16-F16) / B16</f>
        <v>6.2462462462462495E-2</v>
      </c>
      <c r="J16" s="49"/>
      <c r="K16" s="50"/>
      <c r="L16" s="50"/>
      <c r="M16" s="49"/>
      <c r="N16" s="49"/>
      <c r="O16" s="50"/>
    </row>
    <row r="17" spans="2:15" x14ac:dyDescent="0.2">
      <c r="B17" s="37">
        <v>333</v>
      </c>
      <c r="C17" s="13" t="s">
        <v>10</v>
      </c>
      <c r="D17" s="30">
        <v>100</v>
      </c>
      <c r="E17" s="13">
        <v>2</v>
      </c>
      <c r="F17" s="70">
        <v>316.8</v>
      </c>
      <c r="G17" s="13">
        <f>IF(MAX(F$16:F$19)=F17,1,0)</f>
        <v>0</v>
      </c>
      <c r="H17" s="20">
        <f t="shared" si="1"/>
        <v>4.8648648648648617E-2</v>
      </c>
      <c r="J17" s="50"/>
      <c r="K17" s="50"/>
      <c r="L17" s="50"/>
      <c r="M17" s="50"/>
      <c r="N17" s="50"/>
      <c r="O17" s="50"/>
    </row>
    <row r="18" spans="2:15" x14ac:dyDescent="0.2">
      <c r="B18" s="37">
        <v>333</v>
      </c>
      <c r="C18" s="13" t="s">
        <v>10</v>
      </c>
      <c r="D18" s="30">
        <v>150</v>
      </c>
      <c r="E18" s="13">
        <v>3</v>
      </c>
      <c r="F18" s="70">
        <v>320.39999999999998</v>
      </c>
      <c r="G18" s="13">
        <f>IF(MAX(F$16:F$19)=F18,1,0)</f>
        <v>1</v>
      </c>
      <c r="H18" s="20">
        <f t="shared" si="1"/>
        <v>3.7837837837837909E-2</v>
      </c>
      <c r="J18" s="50"/>
      <c r="K18" s="50"/>
      <c r="L18" s="50"/>
      <c r="M18" s="50"/>
      <c r="N18" s="50"/>
      <c r="O18" s="50"/>
    </row>
    <row r="19" spans="2:15" x14ac:dyDescent="0.2">
      <c r="B19" s="37">
        <v>333</v>
      </c>
      <c r="C19" s="13" t="s">
        <v>10</v>
      </c>
      <c r="D19" s="30">
        <v>200</v>
      </c>
      <c r="E19" s="13">
        <v>4</v>
      </c>
      <c r="F19" s="71">
        <v>319.60000000000002</v>
      </c>
      <c r="G19" s="13">
        <f>IF(MAX(F$16:F$19)=F19,1,0)</f>
        <v>0</v>
      </c>
      <c r="H19" s="20">
        <f t="shared" si="1"/>
        <v>4.0240240240240172E-2</v>
      </c>
      <c r="J19" s="50"/>
      <c r="K19" s="50"/>
      <c r="L19" s="50"/>
      <c r="M19" s="50"/>
      <c r="N19" s="50"/>
      <c r="O19" s="50"/>
    </row>
    <row r="20" spans="2:15" x14ac:dyDescent="0.2">
      <c r="B20" s="14"/>
      <c r="C20" s="16" t="s">
        <v>2</v>
      </c>
      <c r="D20" s="16" t="s">
        <v>2</v>
      </c>
      <c r="E20" s="66" t="s">
        <v>2</v>
      </c>
      <c r="F20" s="33" t="s">
        <v>2</v>
      </c>
      <c r="G20" s="68" t="s">
        <v>38</v>
      </c>
      <c r="H20" s="38" t="e">
        <f>(B20-F20) / B20</f>
        <v>#VALUE!</v>
      </c>
      <c r="J20" s="50"/>
      <c r="K20" s="50"/>
      <c r="L20" s="50"/>
      <c r="M20" s="50"/>
      <c r="N20" s="50"/>
      <c r="O20" s="50"/>
    </row>
    <row r="21" spans="2:15" x14ac:dyDescent="0.2">
      <c r="B21" s="37">
        <v>1195</v>
      </c>
      <c r="C21" s="22" t="s">
        <v>11</v>
      </c>
      <c r="D21" s="29">
        <v>50</v>
      </c>
      <c r="E21" s="13">
        <v>1</v>
      </c>
      <c r="F21" s="70">
        <v>1165</v>
      </c>
      <c r="G21" s="13">
        <f>IF(MAX(F$21:F$24)=F21,1,0)</f>
        <v>0</v>
      </c>
      <c r="H21" s="20">
        <f t="shared" si="1"/>
        <v>2.5104602510460251E-2</v>
      </c>
      <c r="J21" s="49"/>
      <c r="K21" s="50"/>
      <c r="L21" s="50"/>
      <c r="M21" s="50"/>
      <c r="N21" s="50"/>
      <c r="O21" s="50"/>
    </row>
    <row r="22" spans="2:15" x14ac:dyDescent="0.2">
      <c r="B22" s="37">
        <v>1195</v>
      </c>
      <c r="C22" s="22" t="s">
        <v>11</v>
      </c>
      <c r="D22" s="30">
        <v>100</v>
      </c>
      <c r="E22" s="13">
        <v>2</v>
      </c>
      <c r="F22" s="70">
        <v>1161.2</v>
      </c>
      <c r="G22" s="13">
        <f>IF(MAX(F$21:F$24)=F22,1,0)</f>
        <v>0</v>
      </c>
      <c r="H22" s="20">
        <f t="shared" si="1"/>
        <v>2.8284518828451843E-2</v>
      </c>
      <c r="J22" s="50"/>
      <c r="K22" s="50"/>
      <c r="L22" s="50"/>
      <c r="M22" s="50"/>
      <c r="N22" s="50"/>
      <c r="O22" s="50"/>
    </row>
    <row r="23" spans="2:15" x14ac:dyDescent="0.2">
      <c r="B23" s="37">
        <v>1195</v>
      </c>
      <c r="C23" s="22" t="s">
        <v>11</v>
      </c>
      <c r="D23" s="30">
        <v>150</v>
      </c>
      <c r="E23" s="13">
        <v>3</v>
      </c>
      <c r="F23" s="70">
        <v>1170.2</v>
      </c>
      <c r="G23" s="13">
        <f>IF(MAX(F$21:F$24)=F23,1,0)</f>
        <v>0</v>
      </c>
      <c r="H23" s="20">
        <f t="shared" si="1"/>
        <v>2.075313807531377E-2</v>
      </c>
      <c r="J23" s="50"/>
      <c r="K23" s="50"/>
      <c r="L23" s="50"/>
      <c r="M23" s="50"/>
      <c r="N23" s="50"/>
      <c r="O23" s="50"/>
    </row>
    <row r="24" spans="2:15" x14ac:dyDescent="0.2">
      <c r="B24" s="37">
        <v>1195</v>
      </c>
      <c r="C24" s="22" t="s">
        <v>11</v>
      </c>
      <c r="D24" s="30">
        <v>200</v>
      </c>
      <c r="E24" s="13">
        <v>4</v>
      </c>
      <c r="F24" s="71">
        <v>1173.5999999999999</v>
      </c>
      <c r="G24" s="13">
        <f>IF(MAX(F$21:F$24)=F24,1,0)</f>
        <v>1</v>
      </c>
      <c r="H24" s="20">
        <f t="shared" si="1"/>
        <v>1.7907949790795054E-2</v>
      </c>
      <c r="J24" s="50"/>
      <c r="K24" s="50"/>
      <c r="L24" s="50"/>
      <c r="M24" s="49"/>
      <c r="N24" s="49"/>
      <c r="O24" s="50"/>
    </row>
    <row r="25" spans="2:15" x14ac:dyDescent="0.2">
      <c r="B25" s="14"/>
      <c r="C25" s="16" t="s">
        <v>2</v>
      </c>
      <c r="D25" s="16" t="s">
        <v>2</v>
      </c>
      <c r="E25" s="66" t="s">
        <v>2</v>
      </c>
      <c r="F25" s="33" t="s">
        <v>2</v>
      </c>
      <c r="G25" s="68" t="s">
        <v>38</v>
      </c>
      <c r="H25" s="38" t="e">
        <f>(B25-F25) / B25</f>
        <v>#VALUE!</v>
      </c>
      <c r="J25" s="50"/>
      <c r="K25" s="50"/>
      <c r="L25" s="50"/>
      <c r="M25" s="50"/>
      <c r="N25" s="50"/>
      <c r="O25" s="50"/>
    </row>
    <row r="26" spans="2:15" x14ac:dyDescent="0.2">
      <c r="B26" s="37">
        <v>7833.8325199999999</v>
      </c>
      <c r="C26" s="27" t="s">
        <v>16</v>
      </c>
      <c r="D26" s="29">
        <v>50</v>
      </c>
      <c r="E26" s="13">
        <v>1</v>
      </c>
      <c r="F26" s="70">
        <v>7421.7120000000004</v>
      </c>
      <c r="G26" s="13">
        <f>IF(MAX(F$26:F$29)=F26,1,0)</f>
        <v>0</v>
      </c>
      <c r="H26" s="20">
        <f t="shared" si="1"/>
        <v>5.2607777731760785E-2</v>
      </c>
      <c r="J26" s="49"/>
      <c r="K26" s="50"/>
      <c r="L26" s="50"/>
      <c r="M26" s="50"/>
      <c r="N26" s="50"/>
      <c r="O26" s="50"/>
    </row>
    <row r="27" spans="2:15" x14ac:dyDescent="0.2">
      <c r="B27" s="37">
        <v>7833.8325199999999</v>
      </c>
      <c r="C27" s="27" t="s">
        <v>16</v>
      </c>
      <c r="D27" s="30">
        <v>100</v>
      </c>
      <c r="E27" s="13">
        <v>2</v>
      </c>
      <c r="F27" s="70">
        <v>7495.6440000000002</v>
      </c>
      <c r="G27" s="13">
        <f>IF(MAX(F$26:F$29)=F27,1,0)</f>
        <v>0</v>
      </c>
      <c r="H27" s="20">
        <f t="shared" si="1"/>
        <v>4.3170251487582183E-2</v>
      </c>
      <c r="J27" s="50"/>
      <c r="K27" s="50"/>
      <c r="L27" s="50"/>
      <c r="M27" s="50"/>
      <c r="N27" s="50"/>
      <c r="O27" s="50"/>
    </row>
    <row r="28" spans="2:15" x14ac:dyDescent="0.2">
      <c r="B28" s="37">
        <v>7833.8325199999999</v>
      </c>
      <c r="C28" s="27" t="s">
        <v>16</v>
      </c>
      <c r="D28" s="30">
        <v>150</v>
      </c>
      <c r="E28" s="13">
        <v>3</v>
      </c>
      <c r="F28" s="71">
        <v>7571.1180000000004</v>
      </c>
      <c r="G28" s="13">
        <f>IF(MAX(F$26:F$29)=F28,1,0)</f>
        <v>1</v>
      </c>
      <c r="H28" s="20">
        <f t="shared" si="1"/>
        <v>3.3535886723296902E-2</v>
      </c>
      <c r="J28" s="50"/>
      <c r="K28" s="50"/>
      <c r="L28" s="50"/>
      <c r="M28" s="49"/>
      <c r="N28" s="49"/>
      <c r="O28" s="50"/>
    </row>
    <row r="29" spans="2:15" x14ac:dyDescent="0.2">
      <c r="B29" s="37">
        <v>7833.8325199999999</v>
      </c>
      <c r="C29" s="27" t="s">
        <v>16</v>
      </c>
      <c r="D29" s="30">
        <v>200</v>
      </c>
      <c r="E29" s="13">
        <v>4</v>
      </c>
      <c r="F29" s="70">
        <v>7508.21</v>
      </c>
      <c r="G29" s="13">
        <f>IF(MAX(F$26:F$29)=F29,1,0)</f>
        <v>0</v>
      </c>
      <c r="H29" s="20">
        <f t="shared" si="1"/>
        <v>4.1566183495584851E-2</v>
      </c>
      <c r="J29" s="50"/>
      <c r="K29" s="50"/>
      <c r="L29" s="50"/>
      <c r="M29" s="50"/>
      <c r="N29" s="50"/>
      <c r="O29" s="50"/>
    </row>
    <row r="30" spans="2:15" x14ac:dyDescent="0.2">
      <c r="B30" s="14"/>
      <c r="C30" s="16" t="s">
        <v>2</v>
      </c>
      <c r="D30" s="16" t="s">
        <v>2</v>
      </c>
      <c r="E30" s="66" t="s">
        <v>2</v>
      </c>
      <c r="F30" s="33" t="s">
        <v>2</v>
      </c>
      <c r="G30" s="68" t="s">
        <v>38</v>
      </c>
      <c r="H30" s="38" t="e">
        <f>(B30-F30) / B30</f>
        <v>#VALUE!</v>
      </c>
      <c r="J30" s="49"/>
      <c r="K30" s="50"/>
      <c r="L30" s="50"/>
      <c r="M30" s="50"/>
      <c r="N30" s="50"/>
      <c r="O30" s="50"/>
    </row>
    <row r="31" spans="2:15" x14ac:dyDescent="0.2">
      <c r="B31" s="37">
        <v>7771.6616199999999</v>
      </c>
      <c r="C31" s="22" t="s">
        <v>17</v>
      </c>
      <c r="D31" s="29">
        <v>50</v>
      </c>
      <c r="E31" s="13">
        <v>1</v>
      </c>
      <c r="F31" s="70">
        <v>7370.174</v>
      </c>
      <c r="G31" s="13">
        <f>IF(MAX(F$31:F$34)=F31,1,0)</f>
        <v>0</v>
      </c>
      <c r="H31" s="20">
        <f>(B31-F31)/B31</f>
        <v>5.1660460739411336E-2</v>
      </c>
      <c r="J31" s="50"/>
      <c r="K31" s="50"/>
      <c r="L31" s="50"/>
      <c r="M31" s="50"/>
      <c r="N31" s="50"/>
      <c r="O31" s="50"/>
    </row>
    <row r="32" spans="2:15" x14ac:dyDescent="0.2">
      <c r="B32" s="37">
        <v>7771.6616199999999</v>
      </c>
      <c r="C32" s="22" t="s">
        <v>17</v>
      </c>
      <c r="D32" s="30">
        <v>100</v>
      </c>
      <c r="E32" s="13">
        <v>2</v>
      </c>
      <c r="F32" s="70">
        <v>7483.7659999999996</v>
      </c>
      <c r="G32" s="13">
        <f>IF(MAX(F$31:F$34)=F32,1,0)</f>
        <v>0</v>
      </c>
      <c r="H32" s="20">
        <f t="shared" si="1"/>
        <v>3.7044281400404083E-2</v>
      </c>
      <c r="J32" s="50"/>
      <c r="K32" s="50"/>
      <c r="L32" s="50"/>
      <c r="M32" s="50"/>
      <c r="N32" s="50"/>
      <c r="O32" s="50"/>
    </row>
    <row r="33" spans="2:15" x14ac:dyDescent="0.2">
      <c r="B33" s="37">
        <v>7771.6616199999999</v>
      </c>
      <c r="C33" s="22" t="s">
        <v>17</v>
      </c>
      <c r="D33" s="30">
        <v>150</v>
      </c>
      <c r="E33" s="13">
        <v>3</v>
      </c>
      <c r="F33" s="71">
        <v>7540.8519999999999</v>
      </c>
      <c r="G33" s="13">
        <f>IF(MAX(F$31:F$34)=F33,1,0)</f>
        <v>1</v>
      </c>
      <c r="H33" s="20">
        <f t="shared" si="1"/>
        <v>2.9698876673428815E-2</v>
      </c>
      <c r="J33" s="50"/>
      <c r="K33" s="50"/>
      <c r="L33" s="50"/>
      <c r="M33" s="49"/>
      <c r="N33" s="49"/>
      <c r="O33" s="50"/>
    </row>
    <row r="34" spans="2:15" x14ac:dyDescent="0.2">
      <c r="B34" s="37">
        <v>7771.6616199999999</v>
      </c>
      <c r="C34" s="22" t="s">
        <v>17</v>
      </c>
      <c r="D34" s="30">
        <v>200</v>
      </c>
      <c r="E34" s="13">
        <v>4</v>
      </c>
      <c r="F34" s="70">
        <v>7522.55</v>
      </c>
      <c r="G34" s="13">
        <f>IF(MAX(F$31:F$34)=F34,1,0)</f>
        <v>0</v>
      </c>
      <c r="H34" s="20">
        <f t="shared" si="1"/>
        <v>3.2053842817721612E-2</v>
      </c>
      <c r="J34" s="50"/>
      <c r="K34" s="50"/>
      <c r="L34" s="50"/>
      <c r="M34" s="50"/>
      <c r="N34" s="50"/>
      <c r="O34" s="50"/>
    </row>
    <row r="35" spans="2:15" x14ac:dyDescent="0.2">
      <c r="B35" s="14"/>
      <c r="C35" s="16" t="s">
        <v>2</v>
      </c>
      <c r="D35" s="16" t="s">
        <v>2</v>
      </c>
      <c r="E35" s="66" t="s">
        <v>2</v>
      </c>
      <c r="F35" s="33" t="s">
        <v>2</v>
      </c>
      <c r="G35" s="68" t="s">
        <v>38</v>
      </c>
      <c r="H35" s="38" t="e">
        <f>(B35-F35) / B35</f>
        <v>#VALUE!</v>
      </c>
      <c r="J35" s="50"/>
      <c r="K35" s="50"/>
      <c r="L35" s="50"/>
      <c r="M35" s="50"/>
      <c r="N35" s="50"/>
      <c r="O35" s="50"/>
    </row>
    <row r="36" spans="2:15" x14ac:dyDescent="0.2">
      <c r="B36" s="37">
        <v>778030.625</v>
      </c>
      <c r="C36" s="22" t="s">
        <v>22</v>
      </c>
      <c r="D36" s="29">
        <v>50</v>
      </c>
      <c r="E36" s="13">
        <v>1</v>
      </c>
      <c r="F36" s="70">
        <v>743121.5</v>
      </c>
      <c r="G36" s="13">
        <f>IF(MAX(F$36:F$39)=F36,1,0)</f>
        <v>0</v>
      </c>
      <c r="H36" s="20">
        <f t="shared" ref="H36:H49" si="2">(B36-F36) / B36</f>
        <v>4.4868574421476015E-2</v>
      </c>
      <c r="J36" s="50"/>
      <c r="K36" s="50"/>
      <c r="L36" s="50"/>
      <c r="M36" s="50"/>
      <c r="N36" s="50"/>
      <c r="O36" s="50"/>
    </row>
    <row r="37" spans="2:15" x14ac:dyDescent="0.2">
      <c r="B37" s="37">
        <v>778030.625</v>
      </c>
      <c r="C37" s="22" t="s">
        <v>22</v>
      </c>
      <c r="D37" s="30">
        <v>100</v>
      </c>
      <c r="E37" s="13">
        <v>2</v>
      </c>
      <c r="F37" s="70">
        <v>750007.46600000001</v>
      </c>
      <c r="G37" s="13">
        <f>IF(MAX(F$36:F$39)=F37,1,0)</f>
        <v>0</v>
      </c>
      <c r="H37" s="20">
        <f t="shared" si="2"/>
        <v>3.6018066769543916E-2</v>
      </c>
      <c r="J37" s="50"/>
      <c r="K37" s="50"/>
      <c r="L37" s="50"/>
      <c r="M37" s="49"/>
      <c r="N37" s="49"/>
      <c r="O37" s="50"/>
    </row>
    <row r="38" spans="2:15" x14ac:dyDescent="0.2">
      <c r="B38" s="37">
        <v>778030.625</v>
      </c>
      <c r="C38" s="22" t="s">
        <v>22</v>
      </c>
      <c r="D38" s="30">
        <v>150</v>
      </c>
      <c r="E38" s="13">
        <v>3</v>
      </c>
      <c r="F38" s="70">
        <v>751048.29599999997</v>
      </c>
      <c r="G38" s="13">
        <f>IF(MAX(F$36:F$39)=F38,1,0)</f>
        <v>0</v>
      </c>
      <c r="H38" s="20">
        <f t="shared" si="2"/>
        <v>3.468029166589686E-2</v>
      </c>
    </row>
    <row r="39" spans="2:15" x14ac:dyDescent="0.2">
      <c r="B39" s="37">
        <v>778030.625</v>
      </c>
      <c r="C39" s="22" t="s">
        <v>22</v>
      </c>
      <c r="D39" s="30">
        <v>200</v>
      </c>
      <c r="E39" s="13">
        <v>4</v>
      </c>
      <c r="F39" s="71">
        <v>754972.152</v>
      </c>
      <c r="G39" s="13">
        <f>IF(MAX(F$36:F$39)=F39,1,0)</f>
        <v>1</v>
      </c>
      <c r="H39" s="20">
        <f t="shared" si="2"/>
        <v>2.9636973480317692E-2</v>
      </c>
    </row>
    <row r="40" spans="2:15" x14ac:dyDescent="0.2">
      <c r="B40" s="14"/>
      <c r="C40" s="16" t="s">
        <v>2</v>
      </c>
      <c r="D40" s="16" t="s">
        <v>2</v>
      </c>
      <c r="E40" s="66" t="s">
        <v>2</v>
      </c>
      <c r="F40" s="33" t="s">
        <v>2</v>
      </c>
      <c r="G40" s="68" t="s">
        <v>38</v>
      </c>
      <c r="H40" s="38" t="e">
        <f>(B40-F40) / B40</f>
        <v>#VALUE!</v>
      </c>
    </row>
    <row r="41" spans="2:15" x14ac:dyDescent="0.2">
      <c r="B41" s="37">
        <v>779963.6875</v>
      </c>
      <c r="C41" s="27" t="s">
        <v>23</v>
      </c>
      <c r="D41" s="29">
        <v>50</v>
      </c>
      <c r="E41" s="13">
        <v>1</v>
      </c>
      <c r="F41" s="70">
        <v>745040.88</v>
      </c>
      <c r="G41" s="27">
        <f>IF(MAX(F$41:F$44)=F41,1,0)</f>
        <v>0</v>
      </c>
      <c r="H41" s="20">
        <f t="shared" si="2"/>
        <v>4.4774914601392893E-2</v>
      </c>
    </row>
    <row r="42" spans="2:15" x14ac:dyDescent="0.2">
      <c r="B42" s="37">
        <v>779963.6875</v>
      </c>
      <c r="C42" s="27" t="s">
        <v>23</v>
      </c>
      <c r="D42" s="30">
        <v>100</v>
      </c>
      <c r="E42" s="13">
        <v>2</v>
      </c>
      <c r="F42" s="70">
        <v>752917.62600000005</v>
      </c>
      <c r="G42" s="27">
        <f>IF(MAX(F$41:F$44)=F42,1,0)</f>
        <v>0</v>
      </c>
      <c r="H42" s="20">
        <f t="shared" si="2"/>
        <v>3.4676052146337843E-2</v>
      </c>
    </row>
    <row r="43" spans="2:15" x14ac:dyDescent="0.2">
      <c r="B43" s="37">
        <v>779963.6875</v>
      </c>
      <c r="C43" s="27" t="s">
        <v>23</v>
      </c>
      <c r="D43" s="30">
        <v>150</v>
      </c>
      <c r="E43" s="13">
        <v>3</v>
      </c>
      <c r="F43" s="70">
        <v>751469.53200000001</v>
      </c>
      <c r="G43" s="27">
        <f>IF(MAX(F$41:F$44)=F43,1,0)</f>
        <v>0</v>
      </c>
      <c r="H43" s="20">
        <f t="shared" si="2"/>
        <v>3.653266934943044E-2</v>
      </c>
    </row>
    <row r="44" spans="2:15" x14ac:dyDescent="0.2">
      <c r="B44" s="37">
        <v>779963.6875</v>
      </c>
      <c r="C44" s="27" t="s">
        <v>23</v>
      </c>
      <c r="D44" s="30">
        <v>200</v>
      </c>
      <c r="E44" s="13">
        <v>4</v>
      </c>
      <c r="F44" s="71">
        <v>755049.31599999999</v>
      </c>
      <c r="G44" s="27">
        <f>IF(MAX(F$41:F$44)=F44,1,0)</f>
        <v>1</v>
      </c>
      <c r="H44" s="20">
        <f t="shared" si="2"/>
        <v>3.194298901254939E-2</v>
      </c>
    </row>
    <row r="45" spans="2:15" x14ac:dyDescent="0.2">
      <c r="B45" s="14"/>
      <c r="C45" s="16" t="s">
        <v>2</v>
      </c>
      <c r="D45" s="16" t="s">
        <v>2</v>
      </c>
      <c r="E45" s="66" t="s">
        <v>2</v>
      </c>
      <c r="F45" s="33" t="s">
        <v>2</v>
      </c>
      <c r="G45" s="68" t="s">
        <v>38</v>
      </c>
      <c r="H45" s="38" t="e">
        <f>(B45-F45) / B45</f>
        <v>#VALUE!</v>
      </c>
    </row>
    <row r="46" spans="2:15" x14ac:dyDescent="0.2">
      <c r="B46" s="37">
        <v>24884110</v>
      </c>
      <c r="C46" s="27" t="s">
        <v>4</v>
      </c>
      <c r="D46" s="29">
        <v>50</v>
      </c>
      <c r="E46" s="13">
        <v>1</v>
      </c>
      <c r="F46" s="34">
        <v>23674259.399999999</v>
      </c>
      <c r="G46" s="27">
        <f>IF(MAX(F$46:F$49)=F46,1,0)</f>
        <v>0</v>
      </c>
      <c r="H46" s="20">
        <f t="shared" si="2"/>
        <v>4.8619404109690942E-2</v>
      </c>
    </row>
    <row r="47" spans="2:15" x14ac:dyDescent="0.2">
      <c r="B47" s="37">
        <v>24884110</v>
      </c>
      <c r="C47" s="27" t="s">
        <v>4</v>
      </c>
      <c r="D47" s="30">
        <v>100</v>
      </c>
      <c r="E47" s="13">
        <v>2</v>
      </c>
      <c r="F47" s="34">
        <v>23839389.399999999</v>
      </c>
      <c r="G47" s="27">
        <f>IF(MAX(F$46:F$49)=F47,1,0)</f>
        <v>0</v>
      </c>
      <c r="H47" s="20">
        <f>(B47-F47) / B47</f>
        <v>4.1983442445801822E-2</v>
      </c>
    </row>
    <row r="48" spans="2:15" x14ac:dyDescent="0.2">
      <c r="B48" s="37">
        <v>24884110</v>
      </c>
      <c r="C48" s="27" t="s">
        <v>4</v>
      </c>
      <c r="D48" s="30">
        <v>150</v>
      </c>
      <c r="E48" s="13">
        <v>3</v>
      </c>
      <c r="F48" s="34">
        <v>23907239.399999999</v>
      </c>
      <c r="G48" s="27">
        <f>IF(MAX(F$46:F$49)=F48,1,0)</f>
        <v>0</v>
      </c>
      <c r="H48" s="20">
        <f>(B48-F48) / B48</f>
        <v>3.9256802835223016E-2</v>
      </c>
    </row>
    <row r="49" spans="2:8" x14ac:dyDescent="0.2">
      <c r="B49" s="37">
        <v>24884110</v>
      </c>
      <c r="C49" s="27" t="s">
        <v>4</v>
      </c>
      <c r="D49" s="30">
        <v>200</v>
      </c>
      <c r="E49" s="13">
        <v>4</v>
      </c>
      <c r="F49" s="34">
        <v>23965718.600000001</v>
      </c>
      <c r="G49" s="27">
        <f>IF(MAX(F$46:F$49)=F49,1,0)</f>
        <v>1</v>
      </c>
      <c r="H49" s="20">
        <f t="shared" si="2"/>
        <v>3.6906740888060632E-2</v>
      </c>
    </row>
    <row r="50" spans="2:8" x14ac:dyDescent="0.2">
      <c r="B50" s="14"/>
      <c r="C50" s="16" t="s">
        <v>2</v>
      </c>
      <c r="D50" s="16" t="s">
        <v>2</v>
      </c>
      <c r="E50" s="66" t="s">
        <v>2</v>
      </c>
      <c r="F50" s="33" t="s">
        <v>2</v>
      </c>
      <c r="G50" s="68" t="s">
        <v>38</v>
      </c>
      <c r="H50" s="38" t="e">
        <f>(B50-F50) / B50</f>
        <v>#VALUE!</v>
      </c>
    </row>
    <row r="51" spans="2:8" x14ac:dyDescent="0.2">
      <c r="B51" s="37">
        <v>24905330</v>
      </c>
      <c r="C51" s="27" t="s">
        <v>28</v>
      </c>
      <c r="D51" s="29">
        <v>50</v>
      </c>
      <c r="E51" s="13">
        <v>1</v>
      </c>
      <c r="F51" s="28">
        <v>23821976.600000001</v>
      </c>
      <c r="G51" s="27">
        <f>IF(MAX(F$51:F$54)=F51,1,0)</f>
        <v>0</v>
      </c>
      <c r="H51" s="20">
        <f>(B51-F51) / B51</f>
        <v>4.3498857473480514E-2</v>
      </c>
    </row>
    <row r="52" spans="2:8" x14ac:dyDescent="0.2">
      <c r="B52" s="37">
        <v>24905330</v>
      </c>
      <c r="C52" s="27" t="s">
        <v>28</v>
      </c>
      <c r="D52" s="30">
        <v>100</v>
      </c>
      <c r="E52" s="13">
        <v>2</v>
      </c>
      <c r="F52" s="28">
        <v>23965130.399999999</v>
      </c>
      <c r="G52" s="27">
        <f>IF(MAX(F$51:F$54)=F52,1,0)</f>
        <v>0</v>
      </c>
      <c r="H52" s="20">
        <f>(B52-F52) / B52</f>
        <v>3.7750939256777624E-2</v>
      </c>
    </row>
    <row r="53" spans="2:8" x14ac:dyDescent="0.2">
      <c r="B53" s="37">
        <v>24905330</v>
      </c>
      <c r="C53" s="27" t="s">
        <v>28</v>
      </c>
      <c r="D53" s="30">
        <v>150</v>
      </c>
      <c r="E53" s="13">
        <v>3</v>
      </c>
      <c r="F53" s="28">
        <v>24029101.399999999</v>
      </c>
      <c r="G53" s="27">
        <f>IF(MAX(F$51:F$54)=F53,1,0)</f>
        <v>0</v>
      </c>
      <c r="H53" s="20">
        <f>(B53-F53) / B53</f>
        <v>3.5182372608594283E-2</v>
      </c>
    </row>
    <row r="54" spans="2:8" ht="17" thickBot="1" x14ac:dyDescent="0.25">
      <c r="B54" s="39">
        <v>24905330</v>
      </c>
      <c r="C54" s="40" t="s">
        <v>28</v>
      </c>
      <c r="D54" s="41">
        <v>200</v>
      </c>
      <c r="E54" s="42">
        <v>4</v>
      </c>
      <c r="F54" s="43">
        <v>24073144.800000001</v>
      </c>
      <c r="G54" s="40">
        <f>IF(MAX(F$51:F$54)=F54,1,0)</f>
        <v>1</v>
      </c>
      <c r="H54" s="44">
        <f>(B54-F54) / B54</f>
        <v>3.3413939907642229E-2</v>
      </c>
    </row>
  </sheetData>
  <mergeCells count="5">
    <mergeCell ref="B1:H1"/>
    <mergeCell ref="B4:B5"/>
    <mergeCell ref="C4:C5"/>
    <mergeCell ref="D4:D5"/>
    <mergeCell ref="E4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BA55-33CA-2846-B095-2B99B033EB5A}">
  <dimension ref="B1:P54"/>
  <sheetViews>
    <sheetView showGridLines="0" zoomScale="84" workbookViewId="0">
      <selection activeCell="K21" sqref="K21"/>
    </sheetView>
  </sheetViews>
  <sheetFormatPr baseColWidth="10" defaultRowHeight="16" x14ac:dyDescent="0.2"/>
  <cols>
    <col min="3" max="3" width="22.33203125" bestFit="1" customWidth="1"/>
    <col min="4" max="4" width="11" bestFit="1" customWidth="1"/>
    <col min="5" max="5" width="7" bestFit="1" customWidth="1"/>
    <col min="6" max="6" width="11.6640625" bestFit="1" customWidth="1"/>
    <col min="7" max="7" width="9.33203125" bestFit="1" customWidth="1"/>
    <col min="8" max="8" width="14.1640625" bestFit="1" customWidth="1"/>
    <col min="11" max="16" width="11" bestFit="1" customWidth="1"/>
  </cols>
  <sheetData>
    <row r="1" spans="2:16" x14ac:dyDescent="0.2">
      <c r="B1" s="142" t="s">
        <v>88</v>
      </c>
      <c r="C1" s="142"/>
      <c r="D1" s="142"/>
      <c r="E1" s="142"/>
      <c r="F1" s="142"/>
      <c r="G1" s="142"/>
      <c r="H1" s="142"/>
    </row>
    <row r="2" spans="2:16" x14ac:dyDescent="0.2">
      <c r="B2" s="24"/>
      <c r="C2" s="24"/>
      <c r="D2" s="24"/>
      <c r="E2" s="24"/>
      <c r="F2" s="24"/>
      <c r="G2" s="24"/>
      <c r="H2" s="24"/>
    </row>
    <row r="3" spans="2:16" ht="17" thickBot="1" x14ac:dyDescent="0.25">
      <c r="B3" s="24"/>
      <c r="C3" s="24"/>
      <c r="D3" s="24"/>
      <c r="E3" s="24"/>
      <c r="F3" s="24"/>
      <c r="G3" s="24"/>
      <c r="H3" s="24"/>
    </row>
    <row r="4" spans="2:16" x14ac:dyDescent="0.2">
      <c r="B4" s="136" t="s">
        <v>33</v>
      </c>
      <c r="C4" s="138" t="s">
        <v>0</v>
      </c>
      <c r="D4" s="140" t="s">
        <v>1</v>
      </c>
      <c r="E4" s="5"/>
      <c r="F4" s="9" t="s">
        <v>34</v>
      </c>
      <c r="G4" s="5" t="s">
        <v>42</v>
      </c>
      <c r="H4" s="2" t="s">
        <v>36</v>
      </c>
    </row>
    <row r="5" spans="2:16" ht="17" thickBot="1" x14ac:dyDescent="0.25">
      <c r="B5" s="143"/>
      <c r="C5" s="144"/>
      <c r="D5" s="145"/>
      <c r="E5" s="60" t="s">
        <v>40</v>
      </c>
      <c r="F5" s="10" t="s">
        <v>35</v>
      </c>
      <c r="G5" s="60" t="s">
        <v>43</v>
      </c>
      <c r="H5" s="61" t="s">
        <v>37</v>
      </c>
      <c r="J5" s="49"/>
      <c r="K5" s="49"/>
      <c r="L5" s="49"/>
      <c r="M5" s="49"/>
      <c r="N5" s="49"/>
      <c r="O5" s="49"/>
      <c r="P5" s="49"/>
    </row>
    <row r="6" spans="2:16" x14ac:dyDescent="0.2">
      <c r="B6" s="37">
        <v>19485.1875</v>
      </c>
      <c r="C6" s="13" t="s">
        <v>6</v>
      </c>
      <c r="D6" s="21">
        <v>500</v>
      </c>
      <c r="E6" s="13">
        <v>1</v>
      </c>
      <c r="F6" s="73">
        <v>19406.591745999998</v>
      </c>
      <c r="G6" s="13">
        <f>IF(MAX(F$6:F$9)=F6,1,0)</f>
        <v>0</v>
      </c>
      <c r="H6" s="20">
        <f>(B6-F6) / B6</f>
        <v>4.0336154835565099E-3</v>
      </c>
      <c r="J6" s="49"/>
      <c r="K6" s="50"/>
      <c r="L6" s="50"/>
      <c r="M6" s="50"/>
      <c r="N6" s="50"/>
      <c r="O6" s="50"/>
      <c r="P6" s="50"/>
    </row>
    <row r="7" spans="2:16" x14ac:dyDescent="0.2">
      <c r="B7" s="37">
        <v>19485.1875</v>
      </c>
      <c r="C7" s="13" t="s">
        <v>6</v>
      </c>
      <c r="D7" s="30">
        <v>1000</v>
      </c>
      <c r="E7" s="13">
        <v>2</v>
      </c>
      <c r="F7" s="73">
        <v>19456.830279999998</v>
      </c>
      <c r="G7" s="13">
        <f>IF(MAX(F$6:F$9)=F7,1,0)</f>
        <v>0</v>
      </c>
      <c r="H7" s="20">
        <f>(B7-F7) / B7</f>
        <v>1.4553218951576263E-3</v>
      </c>
      <c r="J7" s="50"/>
      <c r="K7" s="50"/>
      <c r="L7" s="50"/>
      <c r="M7" s="50"/>
      <c r="N7" s="50"/>
      <c r="O7" s="50"/>
      <c r="P7" s="50"/>
    </row>
    <row r="8" spans="2:16" x14ac:dyDescent="0.2">
      <c r="B8" s="37">
        <v>19485.1875</v>
      </c>
      <c r="C8" s="13" t="s">
        <v>6</v>
      </c>
      <c r="D8" s="30">
        <v>1500</v>
      </c>
      <c r="E8" s="13">
        <v>3</v>
      </c>
      <c r="F8" s="73">
        <v>19472.441438000002</v>
      </c>
      <c r="G8" s="13">
        <f>IF(MAX(F$6:F$9)=F8,1,0)</f>
        <v>0</v>
      </c>
      <c r="H8" s="20">
        <f t="shared" ref="H8:H14" si="0">(B8-F8) / B8</f>
        <v>6.5414110077197595E-4</v>
      </c>
      <c r="J8" s="50"/>
      <c r="K8" s="50"/>
      <c r="L8" s="50"/>
      <c r="M8" s="50"/>
      <c r="N8" s="50"/>
      <c r="O8" s="50"/>
      <c r="P8" s="50"/>
    </row>
    <row r="9" spans="2:16" x14ac:dyDescent="0.2">
      <c r="B9" s="37">
        <v>19485.1875</v>
      </c>
      <c r="C9" s="13" t="s">
        <v>6</v>
      </c>
      <c r="D9" s="30">
        <v>1700</v>
      </c>
      <c r="E9" s="13">
        <v>4</v>
      </c>
      <c r="F9" s="74">
        <v>19474.794010000001</v>
      </c>
      <c r="G9" s="13">
        <f>IF(MAX(F$6:F$9)=F9,1,0)</f>
        <v>1</v>
      </c>
      <c r="H9" s="20">
        <f t="shared" si="0"/>
        <v>5.3340466957264659E-4</v>
      </c>
      <c r="J9" s="50"/>
      <c r="K9" s="50"/>
      <c r="L9" s="50"/>
      <c r="M9" s="50"/>
      <c r="N9" s="49"/>
      <c r="O9" s="49"/>
      <c r="P9" s="50"/>
    </row>
    <row r="10" spans="2:16" x14ac:dyDescent="0.2">
      <c r="B10" s="14"/>
      <c r="C10" s="15" t="s">
        <v>2</v>
      </c>
      <c r="D10" s="16" t="s">
        <v>2</v>
      </c>
      <c r="E10" s="15" t="s">
        <v>2</v>
      </c>
      <c r="F10" s="75" t="s">
        <v>2</v>
      </c>
      <c r="G10" s="15" t="s">
        <v>38</v>
      </c>
      <c r="H10" s="38" t="e">
        <f>(B10-F10) / B10</f>
        <v>#VALUE!</v>
      </c>
      <c r="J10" s="50"/>
      <c r="K10" s="50"/>
      <c r="L10" s="50"/>
      <c r="M10" s="50"/>
      <c r="N10" s="50"/>
      <c r="O10" s="50"/>
      <c r="P10" s="50"/>
    </row>
    <row r="11" spans="2:16" x14ac:dyDescent="0.2">
      <c r="B11" s="37">
        <v>19701.537110000001</v>
      </c>
      <c r="C11" s="18" t="s">
        <v>7</v>
      </c>
      <c r="D11" s="21">
        <v>500</v>
      </c>
      <c r="E11" s="13">
        <v>1</v>
      </c>
      <c r="F11" s="73">
        <v>19570.570178000002</v>
      </c>
      <c r="G11" s="18">
        <f>IF(MAX(F$11:F$14)=F11,1,0)</f>
        <v>0</v>
      </c>
      <c r="H11" s="20">
        <f t="shared" si="0"/>
        <v>6.647548933302461E-3</v>
      </c>
      <c r="J11" s="49"/>
      <c r="K11" s="50"/>
      <c r="L11" s="50"/>
      <c r="M11" s="50"/>
      <c r="N11" s="50"/>
      <c r="O11" s="50"/>
      <c r="P11" s="50"/>
    </row>
    <row r="12" spans="2:16" x14ac:dyDescent="0.2">
      <c r="B12" s="37">
        <v>19701.537110000001</v>
      </c>
      <c r="C12" s="18" t="s">
        <v>7</v>
      </c>
      <c r="D12" s="30">
        <v>1000</v>
      </c>
      <c r="E12" s="13">
        <v>2</v>
      </c>
      <c r="F12" s="73">
        <v>19673.020256</v>
      </c>
      <c r="G12" s="18">
        <f>IF(MAX(F$11:F$14)=F12,1,0)</f>
        <v>0</v>
      </c>
      <c r="H12" s="20">
        <f t="shared" si="0"/>
        <v>1.4474431025753264E-3</v>
      </c>
      <c r="J12" s="50"/>
      <c r="K12" s="50"/>
      <c r="L12" s="50"/>
      <c r="M12" s="50"/>
      <c r="N12" s="50"/>
      <c r="O12" s="50"/>
      <c r="P12" s="50"/>
    </row>
    <row r="13" spans="2:16" x14ac:dyDescent="0.2">
      <c r="B13" s="37">
        <v>19701.537110000001</v>
      </c>
      <c r="C13" s="18" t="s">
        <v>7</v>
      </c>
      <c r="D13" s="30">
        <v>1500</v>
      </c>
      <c r="E13" s="13">
        <v>3</v>
      </c>
      <c r="F13" s="73">
        <v>19693.244731999999</v>
      </c>
      <c r="G13" s="18">
        <f>IF(MAX(F$11:F$14)=F13,1,0)</f>
        <v>0</v>
      </c>
      <c r="H13" s="20">
        <f t="shared" si="0"/>
        <v>4.2090005230063581E-4</v>
      </c>
      <c r="J13" s="50"/>
      <c r="K13" s="50"/>
      <c r="L13" s="50"/>
      <c r="M13" s="50"/>
      <c r="N13" s="50"/>
      <c r="O13" s="50"/>
      <c r="P13" s="50"/>
    </row>
    <row r="14" spans="2:16" x14ac:dyDescent="0.2">
      <c r="B14" s="37">
        <v>19701.537110000001</v>
      </c>
      <c r="C14" s="18" t="s">
        <v>7</v>
      </c>
      <c r="D14" s="30">
        <v>1700</v>
      </c>
      <c r="E14" s="13">
        <v>4</v>
      </c>
      <c r="F14" s="74">
        <v>19694.165615999998</v>
      </c>
      <c r="G14" s="18">
        <f>IF(MAX(F$11:F$14)=F14,1,0)</f>
        <v>1</v>
      </c>
      <c r="H14" s="20">
        <f t="shared" si="0"/>
        <v>3.7415831865530579E-4</v>
      </c>
      <c r="J14" s="50"/>
      <c r="K14" s="50"/>
      <c r="L14" s="50"/>
      <c r="M14" s="50"/>
      <c r="N14" s="49"/>
      <c r="O14" s="49"/>
      <c r="P14" s="50"/>
    </row>
    <row r="15" spans="2:16" x14ac:dyDescent="0.2">
      <c r="B15" s="14"/>
      <c r="C15" s="16" t="s">
        <v>2</v>
      </c>
      <c r="D15" s="16" t="s">
        <v>2</v>
      </c>
      <c r="E15" s="66" t="s">
        <v>2</v>
      </c>
      <c r="F15" s="75" t="s">
        <v>2</v>
      </c>
      <c r="G15" s="68" t="s">
        <v>38</v>
      </c>
      <c r="H15" s="38" t="e">
        <f>(B15-F15) / B15</f>
        <v>#VALUE!</v>
      </c>
      <c r="J15" s="50"/>
      <c r="K15" s="50"/>
      <c r="L15" s="50"/>
      <c r="M15" s="50"/>
      <c r="N15" s="50"/>
      <c r="O15" s="50"/>
      <c r="P15" s="50"/>
    </row>
    <row r="16" spans="2:16" x14ac:dyDescent="0.2">
      <c r="B16" s="37">
        <v>333</v>
      </c>
      <c r="C16" s="13" t="s">
        <v>10</v>
      </c>
      <c r="D16" s="21">
        <v>500</v>
      </c>
      <c r="E16" s="13">
        <v>1</v>
      </c>
      <c r="F16" s="73">
        <v>316.2</v>
      </c>
      <c r="G16" s="13">
        <f>IF(MAX(F$16:F$19)=F16,1,0)</f>
        <v>0</v>
      </c>
      <c r="H16" s="20">
        <f t="shared" ref="H16:H34" si="1">(B16-F16) / B16</f>
        <v>5.0450450450450483E-2</v>
      </c>
      <c r="J16" s="49"/>
      <c r="K16" s="50"/>
      <c r="L16" s="50"/>
      <c r="M16" s="50"/>
      <c r="N16" s="50"/>
      <c r="O16" s="50"/>
      <c r="P16" s="50"/>
    </row>
    <row r="17" spans="2:16" x14ac:dyDescent="0.2">
      <c r="B17" s="37">
        <v>333</v>
      </c>
      <c r="C17" s="13" t="s">
        <v>10</v>
      </c>
      <c r="D17" s="30">
        <v>1000</v>
      </c>
      <c r="E17" s="13">
        <v>2</v>
      </c>
      <c r="F17" s="73">
        <v>318.60000000000002</v>
      </c>
      <c r="G17" s="13">
        <f>IF(MAX(F$16:F$19)=F17,1,0)</f>
        <v>0</v>
      </c>
      <c r="H17" s="20">
        <f t="shared" si="1"/>
        <v>4.3243243243243176E-2</v>
      </c>
      <c r="J17" s="50"/>
      <c r="K17" s="50"/>
      <c r="L17" s="50"/>
      <c r="M17" s="50"/>
      <c r="N17" s="50"/>
      <c r="O17" s="50"/>
      <c r="P17" s="50"/>
    </row>
    <row r="18" spans="2:16" x14ac:dyDescent="0.2">
      <c r="B18" s="37">
        <v>333</v>
      </c>
      <c r="C18" s="13" t="s">
        <v>10</v>
      </c>
      <c r="D18" s="30">
        <v>1500</v>
      </c>
      <c r="E18" s="13">
        <v>3</v>
      </c>
      <c r="F18" s="74">
        <v>320.39999999999998</v>
      </c>
      <c r="G18" s="13">
        <f>IF(MAX(F$16:F$19)=F18,1,0)</f>
        <v>1</v>
      </c>
      <c r="H18" s="20">
        <f t="shared" si="1"/>
        <v>3.7837837837837909E-2</v>
      </c>
      <c r="J18" s="50"/>
      <c r="K18" s="50"/>
      <c r="L18" s="50"/>
      <c r="M18" s="50"/>
      <c r="N18" s="49"/>
      <c r="O18" s="49"/>
      <c r="P18" s="50"/>
    </row>
    <row r="19" spans="2:16" x14ac:dyDescent="0.2">
      <c r="B19" s="37">
        <v>333</v>
      </c>
      <c r="C19" s="13" t="s">
        <v>10</v>
      </c>
      <c r="D19" s="30">
        <v>1700</v>
      </c>
      <c r="E19" s="13">
        <v>4</v>
      </c>
      <c r="F19" s="73">
        <v>319.39999999999998</v>
      </c>
      <c r="G19" s="13">
        <f>IF(MAX(F$16:F$19)=F19,1,0)</f>
        <v>0</v>
      </c>
      <c r="H19" s="20">
        <f t="shared" si="1"/>
        <v>4.0840840840840907E-2</v>
      </c>
      <c r="J19" s="50"/>
      <c r="K19" s="50"/>
      <c r="L19" s="50"/>
      <c r="M19" s="50"/>
      <c r="N19" s="50"/>
      <c r="O19" s="50"/>
      <c r="P19" s="50"/>
    </row>
    <row r="20" spans="2:16" x14ac:dyDescent="0.2">
      <c r="B20" s="14"/>
      <c r="C20" s="16" t="s">
        <v>2</v>
      </c>
      <c r="D20" s="16" t="s">
        <v>2</v>
      </c>
      <c r="E20" s="66" t="s">
        <v>2</v>
      </c>
      <c r="F20" s="75" t="s">
        <v>2</v>
      </c>
      <c r="G20" s="68" t="s">
        <v>38</v>
      </c>
      <c r="H20" s="38" t="e">
        <f>(B20-F20) / B20</f>
        <v>#VALUE!</v>
      </c>
      <c r="J20" s="50"/>
      <c r="K20" s="50"/>
      <c r="L20" s="50"/>
      <c r="M20" s="50"/>
      <c r="N20" s="50"/>
      <c r="O20" s="50"/>
      <c r="P20" s="50"/>
    </row>
    <row r="21" spans="2:16" x14ac:dyDescent="0.2">
      <c r="B21" s="37">
        <v>1195</v>
      </c>
      <c r="C21" s="22" t="s">
        <v>11</v>
      </c>
      <c r="D21" s="21">
        <v>500</v>
      </c>
      <c r="E21" s="13">
        <v>1</v>
      </c>
      <c r="F21" s="73">
        <v>1167</v>
      </c>
      <c r="G21" s="13">
        <f>IF(MAX(F$21:F$24)=F21,1,0)</f>
        <v>0</v>
      </c>
      <c r="H21" s="20">
        <f t="shared" si="1"/>
        <v>2.3430962343096235E-2</v>
      </c>
      <c r="J21" s="49"/>
      <c r="K21" s="50"/>
      <c r="L21" s="50"/>
      <c r="M21" s="50"/>
      <c r="N21" s="50"/>
      <c r="O21" s="50"/>
      <c r="P21" s="50"/>
    </row>
    <row r="22" spans="2:16" x14ac:dyDescent="0.2">
      <c r="B22" s="37">
        <v>1195</v>
      </c>
      <c r="C22" s="22" t="s">
        <v>11</v>
      </c>
      <c r="D22" s="30">
        <v>1000</v>
      </c>
      <c r="E22" s="13">
        <v>2</v>
      </c>
      <c r="F22" s="73">
        <v>1153.5999999999999</v>
      </c>
      <c r="G22" s="13">
        <f>IF(MAX(F$21:F$24)=F22,1,0)</f>
        <v>0</v>
      </c>
      <c r="H22" s="20">
        <f t="shared" si="1"/>
        <v>3.4644351464435223E-2</v>
      </c>
      <c r="J22" s="50"/>
      <c r="K22" s="50"/>
      <c r="L22" s="50"/>
      <c r="M22" s="50"/>
      <c r="N22" s="50"/>
      <c r="O22" s="50"/>
      <c r="P22" s="50"/>
    </row>
    <row r="23" spans="2:16" x14ac:dyDescent="0.2">
      <c r="B23" s="37">
        <v>1195</v>
      </c>
      <c r="C23" s="22" t="s">
        <v>11</v>
      </c>
      <c r="D23" s="30">
        <v>1500</v>
      </c>
      <c r="E23" s="13">
        <v>3</v>
      </c>
      <c r="F23" s="73">
        <v>1173.8</v>
      </c>
      <c r="G23" s="13">
        <f>IF(MAX(F$21:F$24)=F23,1,0)</f>
        <v>0</v>
      </c>
      <c r="H23" s="20">
        <f t="shared" si="1"/>
        <v>1.7740585774058616E-2</v>
      </c>
      <c r="J23" s="50"/>
      <c r="K23" s="50"/>
      <c r="L23" s="50"/>
      <c r="M23" s="50"/>
      <c r="N23" s="50"/>
      <c r="O23" s="50"/>
      <c r="P23" s="50"/>
    </row>
    <row r="24" spans="2:16" x14ac:dyDescent="0.2">
      <c r="B24" s="37">
        <v>1195</v>
      </c>
      <c r="C24" s="22" t="s">
        <v>11</v>
      </c>
      <c r="D24" s="30">
        <v>1700</v>
      </c>
      <c r="E24" s="13">
        <v>4</v>
      </c>
      <c r="F24" s="74">
        <v>1175.8</v>
      </c>
      <c r="G24" s="13">
        <f>IF(MAX(F$21:F$24)=F24,1,0)</f>
        <v>1</v>
      </c>
      <c r="H24" s="20">
        <f t="shared" si="1"/>
        <v>1.60669456066946E-2</v>
      </c>
      <c r="J24" s="50"/>
      <c r="K24" s="50"/>
      <c r="L24" s="50"/>
      <c r="M24" s="50"/>
      <c r="N24" s="49"/>
      <c r="O24" s="49"/>
      <c r="P24" s="50"/>
    </row>
    <row r="25" spans="2:16" x14ac:dyDescent="0.2">
      <c r="B25" s="14"/>
      <c r="C25" s="16" t="s">
        <v>2</v>
      </c>
      <c r="D25" s="16" t="s">
        <v>2</v>
      </c>
      <c r="E25" s="66" t="s">
        <v>2</v>
      </c>
      <c r="F25" s="75" t="s">
        <v>2</v>
      </c>
      <c r="G25" s="68" t="s">
        <v>38</v>
      </c>
      <c r="H25" s="38" t="e">
        <f>(B25-F25) / B25</f>
        <v>#VALUE!</v>
      </c>
      <c r="J25" s="50"/>
      <c r="K25" s="50"/>
      <c r="L25" s="50"/>
      <c r="M25" s="50"/>
      <c r="N25" s="50"/>
      <c r="O25" s="50"/>
      <c r="P25" s="50"/>
    </row>
    <row r="26" spans="2:16" x14ac:dyDescent="0.2">
      <c r="B26" s="37">
        <v>7833.8325199999999</v>
      </c>
      <c r="C26" s="27" t="s">
        <v>16</v>
      </c>
      <c r="D26" s="21">
        <v>500</v>
      </c>
      <c r="E26" s="13">
        <v>1</v>
      </c>
      <c r="F26" s="73">
        <v>7431.7460000000001</v>
      </c>
      <c r="G26" s="13">
        <f>IF(MAX(F$26:F$29)=F26,1,0)</f>
        <v>0</v>
      </c>
      <c r="H26" s="20">
        <f t="shared" si="1"/>
        <v>5.132692318523039E-2</v>
      </c>
      <c r="J26" s="49"/>
      <c r="K26" s="50"/>
      <c r="L26" s="50"/>
      <c r="M26" s="50"/>
      <c r="N26" s="50"/>
      <c r="O26" s="50"/>
      <c r="P26" s="50"/>
    </row>
    <row r="27" spans="2:16" x14ac:dyDescent="0.2">
      <c r="B27" s="37">
        <v>7833.8325199999999</v>
      </c>
      <c r="C27" s="27" t="s">
        <v>16</v>
      </c>
      <c r="D27" s="30">
        <v>1000</v>
      </c>
      <c r="E27" s="13">
        <v>2</v>
      </c>
      <c r="F27" s="73">
        <v>7553.2719999999999</v>
      </c>
      <c r="G27" s="13">
        <f>IF(MAX(F$26:F$29)=F27,1,0)</f>
        <v>0</v>
      </c>
      <c r="H27" s="20">
        <f t="shared" si="1"/>
        <v>3.581395431721586E-2</v>
      </c>
      <c r="J27" s="50"/>
      <c r="K27" s="50"/>
      <c r="L27" s="50"/>
      <c r="M27" s="50"/>
      <c r="N27" s="50"/>
      <c r="O27" s="50"/>
      <c r="P27" s="50"/>
    </row>
    <row r="28" spans="2:16" x14ac:dyDescent="0.2">
      <c r="B28" s="37">
        <v>7833.8325199999999</v>
      </c>
      <c r="C28" s="27" t="s">
        <v>16</v>
      </c>
      <c r="D28" s="30">
        <v>1500</v>
      </c>
      <c r="E28" s="13">
        <v>3</v>
      </c>
      <c r="F28" s="73">
        <v>7592.0280000000002</v>
      </c>
      <c r="G28" s="13">
        <f>IF(MAX(F$26:F$29)=F28,1,0)</f>
        <v>0</v>
      </c>
      <c r="H28" s="20">
        <f t="shared" si="1"/>
        <v>3.0866695117959923E-2</v>
      </c>
      <c r="J28" s="50"/>
      <c r="K28" s="50"/>
      <c r="L28" s="50"/>
      <c r="M28" s="50"/>
      <c r="N28" s="50"/>
      <c r="O28" s="50"/>
      <c r="P28" s="50"/>
    </row>
    <row r="29" spans="2:16" x14ac:dyDescent="0.2">
      <c r="B29" s="37">
        <v>7833.8325199999999</v>
      </c>
      <c r="C29" s="27" t="s">
        <v>16</v>
      </c>
      <c r="D29" s="30">
        <v>1700</v>
      </c>
      <c r="E29" s="13">
        <v>4</v>
      </c>
      <c r="F29" s="74">
        <v>7622.0559999999996</v>
      </c>
      <c r="G29" s="13">
        <f>IF(MAX(F$26:F$29)=F29,1,0)</f>
        <v>1</v>
      </c>
      <c r="H29" s="20">
        <f t="shared" si="1"/>
        <v>2.7033577684910777E-2</v>
      </c>
      <c r="J29" s="50"/>
      <c r="K29" s="50"/>
      <c r="L29" s="50"/>
      <c r="M29" s="50"/>
      <c r="N29" s="49"/>
      <c r="O29" s="49"/>
      <c r="P29" s="50"/>
    </row>
    <row r="30" spans="2:16" x14ac:dyDescent="0.2">
      <c r="B30" s="14"/>
      <c r="C30" s="16" t="s">
        <v>2</v>
      </c>
      <c r="D30" s="16" t="s">
        <v>2</v>
      </c>
      <c r="E30" s="66" t="s">
        <v>2</v>
      </c>
      <c r="F30" s="75" t="s">
        <v>2</v>
      </c>
      <c r="G30" s="68" t="s">
        <v>38</v>
      </c>
      <c r="H30" s="38" t="e">
        <f>(B30-F30) / B30</f>
        <v>#VALUE!</v>
      </c>
      <c r="J30" s="50"/>
      <c r="K30" s="50"/>
      <c r="L30" s="50"/>
      <c r="M30" s="50"/>
      <c r="N30" s="50"/>
      <c r="O30" s="50"/>
      <c r="P30" s="50"/>
    </row>
    <row r="31" spans="2:16" x14ac:dyDescent="0.2">
      <c r="B31" s="37">
        <v>7771.6616199999999</v>
      </c>
      <c r="C31" s="22" t="s">
        <v>17</v>
      </c>
      <c r="D31" s="21">
        <v>500</v>
      </c>
      <c r="E31" s="13">
        <v>1</v>
      </c>
      <c r="F31" s="73">
        <v>7419.6880000000001</v>
      </c>
      <c r="G31" s="13">
        <f>IF(MAX(F$31:F$34)=F31,1,0)</f>
        <v>0</v>
      </c>
      <c r="H31" s="20">
        <f>(B31-F31)/B31</f>
        <v>4.5289365030280325E-2</v>
      </c>
      <c r="J31" s="49"/>
      <c r="K31" s="50"/>
      <c r="L31" s="50"/>
      <c r="M31" s="50"/>
      <c r="N31" s="50"/>
      <c r="O31" s="50"/>
      <c r="P31" s="50"/>
    </row>
    <row r="32" spans="2:16" x14ac:dyDescent="0.2">
      <c r="B32" s="37">
        <v>7771.6616199999999</v>
      </c>
      <c r="C32" s="22" t="s">
        <v>17</v>
      </c>
      <c r="D32" s="30">
        <v>1000</v>
      </c>
      <c r="E32" s="13">
        <v>2</v>
      </c>
      <c r="F32" s="73">
        <v>7492.8860000000004</v>
      </c>
      <c r="G32" s="13">
        <f>IF(MAX(F$31:F$34)=F32,1,0)</f>
        <v>0</v>
      </c>
      <c r="H32" s="20">
        <f t="shared" si="1"/>
        <v>3.5870787179228661E-2</v>
      </c>
      <c r="J32" s="50"/>
      <c r="K32" s="50"/>
      <c r="L32" s="50"/>
      <c r="M32" s="50"/>
      <c r="N32" s="50"/>
      <c r="O32" s="50"/>
      <c r="P32" s="50"/>
    </row>
    <row r="33" spans="2:16" x14ac:dyDescent="0.2">
      <c r="B33" s="37">
        <v>7771.6616199999999</v>
      </c>
      <c r="C33" s="22" t="s">
        <v>17</v>
      </c>
      <c r="D33" s="30">
        <v>1500</v>
      </c>
      <c r="E33" s="13">
        <v>3</v>
      </c>
      <c r="F33" s="73">
        <v>7535.0020000000004</v>
      </c>
      <c r="G33" s="13">
        <f>IF(MAX(F$31:F$34)=F33,1,0)</f>
        <v>0</v>
      </c>
      <c r="H33" s="20">
        <f t="shared" si="1"/>
        <v>3.0451611453458965E-2</v>
      </c>
      <c r="J33" s="50"/>
      <c r="K33" s="50"/>
      <c r="L33" s="50"/>
      <c r="M33" s="50"/>
      <c r="N33" s="50"/>
      <c r="O33" s="50"/>
      <c r="P33" s="50"/>
    </row>
    <row r="34" spans="2:16" x14ac:dyDescent="0.2">
      <c r="B34" s="37">
        <v>7771.6616199999999</v>
      </c>
      <c r="C34" s="22" t="s">
        <v>17</v>
      </c>
      <c r="D34" s="30">
        <v>1700</v>
      </c>
      <c r="E34" s="13">
        <v>4</v>
      </c>
      <c r="F34" s="74">
        <v>7580.9740000000002</v>
      </c>
      <c r="G34" s="13">
        <f>IF(MAX(F$31:F$34)=F34,1,0)</f>
        <v>1</v>
      </c>
      <c r="H34" s="20">
        <f t="shared" si="1"/>
        <v>2.4536274135929209E-2</v>
      </c>
      <c r="J34" s="50"/>
      <c r="K34" s="50"/>
      <c r="L34" s="50"/>
      <c r="M34" s="50"/>
      <c r="N34" s="49"/>
      <c r="O34" s="49"/>
      <c r="P34" s="50"/>
    </row>
    <row r="35" spans="2:16" x14ac:dyDescent="0.2">
      <c r="B35" s="14"/>
      <c r="C35" s="16" t="s">
        <v>2</v>
      </c>
      <c r="D35" s="16" t="s">
        <v>2</v>
      </c>
      <c r="E35" s="66" t="s">
        <v>2</v>
      </c>
      <c r="F35" s="75" t="s">
        <v>2</v>
      </c>
      <c r="G35" s="68" t="s">
        <v>38</v>
      </c>
      <c r="H35" s="38" t="e">
        <f>(B35-F35) / B35</f>
        <v>#VALUE!</v>
      </c>
      <c r="J35" s="50"/>
      <c r="K35" s="50"/>
      <c r="L35" s="50"/>
      <c r="M35" s="50"/>
      <c r="N35" s="50"/>
      <c r="O35" s="50"/>
      <c r="P35" s="50"/>
    </row>
    <row r="36" spans="2:16" x14ac:dyDescent="0.2">
      <c r="B36" s="37">
        <v>778030.625</v>
      </c>
      <c r="C36" s="22" t="s">
        <v>22</v>
      </c>
      <c r="D36" s="21">
        <v>500</v>
      </c>
      <c r="E36" s="13">
        <v>1</v>
      </c>
      <c r="F36" s="73">
        <v>743626.10600000003</v>
      </c>
      <c r="G36" s="13">
        <f>IF(MAX(F$36:F$39)=F36,1,0)</f>
        <v>0</v>
      </c>
      <c r="H36" s="20">
        <f t="shared" ref="H36:H49" si="2">(B36-F36) / B36</f>
        <v>4.4220006121224308E-2</v>
      </c>
      <c r="J36" s="49"/>
      <c r="K36" s="50"/>
      <c r="L36" s="50"/>
      <c r="M36" s="50"/>
      <c r="N36" s="50"/>
      <c r="O36" s="50"/>
      <c r="P36" s="50"/>
    </row>
    <row r="37" spans="2:16" x14ac:dyDescent="0.2">
      <c r="B37" s="37">
        <v>778030.625</v>
      </c>
      <c r="C37" s="22" t="s">
        <v>22</v>
      </c>
      <c r="D37" s="30">
        <v>1000</v>
      </c>
      <c r="E37" s="13">
        <v>2</v>
      </c>
      <c r="F37" s="73">
        <v>751129.72199999995</v>
      </c>
      <c r="G37" s="13">
        <f>IF(MAX(F$36:F$39)=F37,1,0)</f>
        <v>0</v>
      </c>
      <c r="H37" s="20">
        <f t="shared" si="2"/>
        <v>3.4575635117190986E-2</v>
      </c>
      <c r="J37" s="50"/>
      <c r="K37" s="50"/>
      <c r="L37" s="50"/>
      <c r="M37" s="50"/>
      <c r="N37" s="50"/>
      <c r="O37" s="50"/>
      <c r="P37" s="50"/>
    </row>
    <row r="38" spans="2:16" x14ac:dyDescent="0.2">
      <c r="B38" s="37">
        <v>778030.625</v>
      </c>
      <c r="C38" s="22" t="s">
        <v>22</v>
      </c>
      <c r="D38" s="30">
        <v>1500</v>
      </c>
      <c r="E38" s="13">
        <v>3</v>
      </c>
      <c r="F38" s="74">
        <v>757772.21799999999</v>
      </c>
      <c r="G38" s="13">
        <f>IF(MAX(F$36:F$39)=F38,1,0)</f>
        <v>1</v>
      </c>
      <c r="H38" s="20">
        <f t="shared" si="2"/>
        <v>2.6038058591845284E-2</v>
      </c>
      <c r="J38" s="50"/>
      <c r="K38" s="50"/>
      <c r="L38" s="50"/>
      <c r="M38" s="50"/>
      <c r="N38" s="49"/>
      <c r="O38" s="49"/>
      <c r="P38" s="50"/>
    </row>
    <row r="39" spans="2:16" x14ac:dyDescent="0.2">
      <c r="B39" s="37">
        <v>778030.625</v>
      </c>
      <c r="C39" s="22" t="s">
        <v>22</v>
      </c>
      <c r="D39" s="30">
        <v>1700</v>
      </c>
      <c r="E39" s="13">
        <v>4</v>
      </c>
      <c r="F39" s="73">
        <v>756298.48</v>
      </c>
      <c r="G39" s="13">
        <f>IF(MAX(F$36:F$39)=F39,1,0)</f>
        <v>0</v>
      </c>
      <c r="H39" s="20">
        <f t="shared" si="2"/>
        <v>2.7932248810899979E-2</v>
      </c>
      <c r="J39" s="50"/>
      <c r="K39" s="50"/>
      <c r="L39" s="50"/>
      <c r="M39" s="50"/>
      <c r="N39" s="50"/>
      <c r="O39" s="50"/>
      <c r="P39" s="50"/>
    </row>
    <row r="40" spans="2:16" x14ac:dyDescent="0.2">
      <c r="B40" s="14"/>
      <c r="C40" s="16" t="s">
        <v>2</v>
      </c>
      <c r="D40" s="16" t="s">
        <v>2</v>
      </c>
      <c r="E40" s="66" t="s">
        <v>2</v>
      </c>
      <c r="F40" s="75" t="s">
        <v>2</v>
      </c>
      <c r="G40" s="68" t="s">
        <v>38</v>
      </c>
      <c r="H40" s="38" t="e">
        <f>(B40-F40) / B40</f>
        <v>#VALUE!</v>
      </c>
      <c r="J40" s="50"/>
      <c r="K40" s="50"/>
      <c r="L40" s="50"/>
      <c r="M40" s="50"/>
      <c r="N40" s="50"/>
      <c r="O40" s="50"/>
      <c r="P40" s="50"/>
    </row>
    <row r="41" spans="2:16" x14ac:dyDescent="0.2">
      <c r="B41" s="37">
        <v>779963.6875</v>
      </c>
      <c r="C41" s="27" t="s">
        <v>23</v>
      </c>
      <c r="D41" s="21">
        <v>500</v>
      </c>
      <c r="E41" s="13">
        <v>1</v>
      </c>
      <c r="F41" s="73">
        <v>743886.97199999995</v>
      </c>
      <c r="G41" s="27">
        <f>IF(MAX(F$41:F$44)=F41,1,0)</f>
        <v>0</v>
      </c>
      <c r="H41" s="20">
        <f t="shared" si="2"/>
        <v>4.6254352706644498E-2</v>
      </c>
      <c r="J41" s="49"/>
      <c r="K41" s="50"/>
      <c r="L41" s="50"/>
      <c r="M41" s="50"/>
      <c r="N41" s="50"/>
      <c r="O41" s="50"/>
      <c r="P41" s="50"/>
    </row>
    <row r="42" spans="2:16" x14ac:dyDescent="0.2">
      <c r="B42" s="37">
        <v>779963.6875</v>
      </c>
      <c r="C42" s="27" t="s">
        <v>23</v>
      </c>
      <c r="D42" s="30">
        <v>1000</v>
      </c>
      <c r="E42" s="13">
        <v>2</v>
      </c>
      <c r="F42" s="73">
        <v>751772.60800000001</v>
      </c>
      <c r="G42" s="27">
        <f>IF(MAX(F$41:F$44)=F42,1,0)</f>
        <v>0</v>
      </c>
      <c r="H42" s="20">
        <f t="shared" si="2"/>
        <v>3.6144092285065502E-2</v>
      </c>
      <c r="J42" s="50"/>
      <c r="K42" s="50"/>
      <c r="L42" s="50"/>
      <c r="M42" s="50"/>
      <c r="N42" s="50"/>
      <c r="O42" s="50"/>
      <c r="P42" s="50"/>
    </row>
    <row r="43" spans="2:16" x14ac:dyDescent="0.2">
      <c r="B43" s="37">
        <v>779963.6875</v>
      </c>
      <c r="C43" s="27" t="s">
        <v>23</v>
      </c>
      <c r="D43" s="30">
        <v>1500</v>
      </c>
      <c r="E43" s="13">
        <v>3</v>
      </c>
      <c r="F43" s="74">
        <v>759833.51199999999</v>
      </c>
      <c r="G43" s="27">
        <f>IF(MAX(F$41:F$44)=F43,1,0)</f>
        <v>1</v>
      </c>
      <c r="H43" s="20">
        <f t="shared" si="2"/>
        <v>2.5809118837984379E-2</v>
      </c>
      <c r="J43" s="50"/>
      <c r="K43" s="50"/>
      <c r="L43" s="50"/>
      <c r="M43" s="50"/>
      <c r="N43" s="49"/>
      <c r="O43" s="49"/>
      <c r="P43" s="50"/>
    </row>
    <row r="44" spans="2:16" x14ac:dyDescent="0.2">
      <c r="B44" s="37">
        <v>779963.6875</v>
      </c>
      <c r="C44" s="27" t="s">
        <v>23</v>
      </c>
      <c r="D44" s="30">
        <v>1700</v>
      </c>
      <c r="E44" s="13">
        <v>4</v>
      </c>
      <c r="F44" s="73">
        <v>758612.56</v>
      </c>
      <c r="G44" s="27">
        <f>IF(MAX(F$41:F$44)=F44,1,0)</f>
        <v>0</v>
      </c>
      <c r="H44" s="20">
        <f t="shared" si="2"/>
        <v>2.7374514791113202E-2</v>
      </c>
      <c r="J44" s="50"/>
      <c r="K44" s="50"/>
      <c r="L44" s="50"/>
      <c r="M44" s="50"/>
      <c r="N44" s="50"/>
      <c r="O44" s="50"/>
      <c r="P44" s="50"/>
    </row>
    <row r="45" spans="2:16" x14ac:dyDescent="0.2">
      <c r="B45" s="14"/>
      <c r="C45" s="16" t="s">
        <v>2</v>
      </c>
      <c r="D45" s="16" t="s">
        <v>2</v>
      </c>
      <c r="E45" s="66" t="s">
        <v>2</v>
      </c>
      <c r="F45" s="75" t="s">
        <v>2</v>
      </c>
      <c r="G45" s="68" t="s">
        <v>38</v>
      </c>
      <c r="H45" s="38" t="e">
        <f>(B45-F45) / B45</f>
        <v>#VALUE!</v>
      </c>
    </row>
    <row r="46" spans="2:16" x14ac:dyDescent="0.2">
      <c r="B46" s="37">
        <v>24884110</v>
      </c>
      <c r="C46" s="27" t="s">
        <v>4</v>
      </c>
      <c r="D46" s="21">
        <v>500</v>
      </c>
      <c r="E46" s="13">
        <v>1</v>
      </c>
      <c r="F46" s="76">
        <v>23548413.399999999</v>
      </c>
      <c r="G46" s="27">
        <f>IF(MAX(F$46:F$49)=F46,1,0)</f>
        <v>0</v>
      </c>
      <c r="H46" s="20">
        <f t="shared" si="2"/>
        <v>5.3676687653285628E-2</v>
      </c>
    </row>
    <row r="47" spans="2:16" x14ac:dyDescent="0.2">
      <c r="B47" s="37">
        <v>24884110</v>
      </c>
      <c r="C47" s="27" t="s">
        <v>4</v>
      </c>
      <c r="D47" s="30">
        <v>1000</v>
      </c>
      <c r="E47" s="13">
        <v>2</v>
      </c>
      <c r="F47" s="76">
        <v>23904991.199999999</v>
      </c>
      <c r="G47" s="27">
        <f>IF(MAX(F$46:F$49)=F47,1,0)</f>
        <v>0</v>
      </c>
      <c r="H47" s="20">
        <f>(B47-F47) / B47</f>
        <v>3.9347149646903216E-2</v>
      </c>
    </row>
    <row r="48" spans="2:16" x14ac:dyDescent="0.2">
      <c r="B48" s="37">
        <v>24884110</v>
      </c>
      <c r="C48" s="27" t="s">
        <v>4</v>
      </c>
      <c r="D48" s="30">
        <v>1500</v>
      </c>
      <c r="E48" s="13">
        <v>3</v>
      </c>
      <c r="F48" s="76">
        <v>24095666.199999999</v>
      </c>
      <c r="G48" s="27">
        <f>IF(MAX(F$46:F$49)=F48,1,0)</f>
        <v>0</v>
      </c>
      <c r="H48" s="20">
        <f>(B48-F48) / B48</f>
        <v>3.1684629267432138E-2</v>
      </c>
    </row>
    <row r="49" spans="2:8" x14ac:dyDescent="0.2">
      <c r="B49" s="37">
        <v>24884110</v>
      </c>
      <c r="C49" s="27" t="s">
        <v>4</v>
      </c>
      <c r="D49" s="30">
        <v>1700</v>
      </c>
      <c r="E49" s="13">
        <v>4</v>
      </c>
      <c r="F49" s="76">
        <v>24169696.399999999</v>
      </c>
      <c r="G49" s="27">
        <f>IF(MAX(F$46:F$49)=F49,1,0)</f>
        <v>1</v>
      </c>
      <c r="H49" s="20">
        <f t="shared" si="2"/>
        <v>2.8709630362508506E-2</v>
      </c>
    </row>
    <row r="50" spans="2:8" x14ac:dyDescent="0.2">
      <c r="B50" s="14"/>
      <c r="C50" s="16" t="s">
        <v>2</v>
      </c>
      <c r="D50" s="16" t="s">
        <v>2</v>
      </c>
      <c r="E50" s="66" t="s">
        <v>2</v>
      </c>
      <c r="F50" s="75" t="s">
        <v>2</v>
      </c>
      <c r="G50" s="68" t="s">
        <v>38</v>
      </c>
      <c r="H50" s="38" t="e">
        <f>(B50-F50) / B50</f>
        <v>#VALUE!</v>
      </c>
    </row>
    <row r="51" spans="2:8" x14ac:dyDescent="0.2">
      <c r="B51" s="37">
        <v>24905330</v>
      </c>
      <c r="C51" s="27" t="s">
        <v>28</v>
      </c>
      <c r="D51" s="21">
        <v>500</v>
      </c>
      <c r="E51" s="13">
        <v>1</v>
      </c>
      <c r="F51" s="76">
        <v>23519060.199999999</v>
      </c>
      <c r="G51" s="27">
        <f>IF(MAX(F$51:F$54)=F51,1,0)</f>
        <v>0</v>
      </c>
      <c r="H51" s="20">
        <f>(B51-F51) / B51</f>
        <v>5.5661571237963954E-2</v>
      </c>
    </row>
    <row r="52" spans="2:8" x14ac:dyDescent="0.2">
      <c r="B52" s="37">
        <v>24905330</v>
      </c>
      <c r="C52" s="27" t="s">
        <v>28</v>
      </c>
      <c r="D52" s="30">
        <v>1000</v>
      </c>
      <c r="E52" s="13">
        <v>2</v>
      </c>
      <c r="F52" s="76">
        <v>23916990.800000001</v>
      </c>
      <c r="G52" s="27">
        <f>IF(MAX(F$51:F$54)=F52,1,0)</f>
        <v>0</v>
      </c>
      <c r="H52" s="20">
        <f>(B52-F52) / B52</f>
        <v>3.9683842775823458E-2</v>
      </c>
    </row>
    <row r="53" spans="2:8" x14ac:dyDescent="0.2">
      <c r="B53" s="37">
        <v>24905330</v>
      </c>
      <c r="C53" s="27" t="s">
        <v>28</v>
      </c>
      <c r="D53" s="30">
        <v>1500</v>
      </c>
      <c r="E53" s="13">
        <v>3</v>
      </c>
      <c r="F53" s="77">
        <v>24116650.800000001</v>
      </c>
      <c r="G53" s="27">
        <f>IF(MAX(F$51:F$54)=F53,1,0)</f>
        <v>0</v>
      </c>
      <c r="H53" s="20">
        <f>(B53-F53) / B53</f>
        <v>3.1667084917164287E-2</v>
      </c>
    </row>
    <row r="54" spans="2:8" ht="17" thickBot="1" x14ac:dyDescent="0.25">
      <c r="B54" s="39">
        <v>24905330</v>
      </c>
      <c r="C54" s="40" t="s">
        <v>28</v>
      </c>
      <c r="D54" s="41">
        <v>1700</v>
      </c>
      <c r="E54" s="42">
        <v>4</v>
      </c>
      <c r="F54" s="78">
        <v>24122379.800000001</v>
      </c>
      <c r="G54" s="40">
        <f>IF(MAX(F$51:F$54)=F54,1,0)</f>
        <v>1</v>
      </c>
      <c r="H54" s="44">
        <f>(B54-F54) / B54</f>
        <v>3.1437053835464107E-2</v>
      </c>
    </row>
  </sheetData>
  <mergeCells count="4">
    <mergeCell ref="B1:H1"/>
    <mergeCell ref="B4:B5"/>
    <mergeCell ref="C4:C5"/>
    <mergeCell ref="D4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B670-2BAA-B640-B7B2-57328E4464D9}">
  <dimension ref="B4:N69"/>
  <sheetViews>
    <sheetView showGridLines="0" topLeftCell="A17" zoomScale="88" workbookViewId="0">
      <selection activeCell="H30" sqref="H30"/>
    </sheetView>
  </sheetViews>
  <sheetFormatPr baseColWidth="10" defaultRowHeight="16" x14ac:dyDescent="0.2"/>
  <cols>
    <col min="2" max="2" width="26.83203125" bestFit="1" customWidth="1"/>
    <col min="3" max="4" width="26.83203125" customWidth="1"/>
    <col min="5" max="5" width="15.33203125" bestFit="1" customWidth="1"/>
    <col min="6" max="6" width="15.83203125" bestFit="1" customWidth="1"/>
    <col min="7" max="7" width="14.6640625" bestFit="1" customWidth="1"/>
    <col min="8" max="8" width="25.5" bestFit="1" customWidth="1"/>
    <col min="9" max="9" width="19.83203125" customWidth="1"/>
    <col min="11" max="11" width="14.5" bestFit="1" customWidth="1"/>
  </cols>
  <sheetData>
    <row r="4" spans="2:13" ht="17" thickBot="1" x14ac:dyDescent="0.25">
      <c r="B4" s="49"/>
      <c r="C4" s="49"/>
      <c r="D4" s="49"/>
      <c r="E4" s="49"/>
      <c r="F4" s="49"/>
      <c r="G4" s="49"/>
      <c r="H4" s="49"/>
    </row>
    <row r="5" spans="2:13" ht="17" thickBot="1" x14ac:dyDescent="0.25">
      <c r="B5" s="109" t="s">
        <v>0</v>
      </c>
      <c r="C5" s="109" t="s">
        <v>5</v>
      </c>
      <c r="D5" s="110" t="s">
        <v>90</v>
      </c>
      <c r="E5" s="111" t="s">
        <v>37</v>
      </c>
      <c r="F5" s="112" t="s">
        <v>91</v>
      </c>
      <c r="G5" s="113" t="s">
        <v>37</v>
      </c>
      <c r="H5" s="50"/>
      <c r="I5" s="50"/>
      <c r="J5" s="50"/>
      <c r="K5" s="50"/>
    </row>
    <row r="6" spans="2:13" x14ac:dyDescent="0.2">
      <c r="B6" s="114" t="s">
        <v>8</v>
      </c>
      <c r="C6" s="115">
        <v>19477.328099999999</v>
      </c>
      <c r="D6" s="116">
        <v>19465.499177999998</v>
      </c>
      <c r="E6" s="117">
        <f>(C6-D6)/C6</f>
        <v>6.0731748930186184E-4</v>
      </c>
      <c r="F6" s="116">
        <v>19471.61825</v>
      </c>
      <c r="G6" s="118">
        <f>(C6-F6)/C6</f>
        <v>2.9315365899695855E-4</v>
      </c>
      <c r="H6" s="4"/>
      <c r="I6" s="80"/>
      <c r="J6" s="4"/>
      <c r="K6" s="81"/>
    </row>
    <row r="7" spans="2:13" ht="17" thickBot="1" x14ac:dyDescent="0.25">
      <c r="B7" s="119" t="s">
        <v>9</v>
      </c>
      <c r="C7" s="115">
        <v>19604.84375</v>
      </c>
      <c r="D7" s="116">
        <v>19590.277896</v>
      </c>
      <c r="E7" s="117">
        <f t="shared" ref="E7:E24" si="0">(C7-D7)/C7</f>
        <v>7.4297220552958494E-4</v>
      </c>
      <c r="F7" s="116">
        <v>19602.00706</v>
      </c>
      <c r="G7" s="118">
        <f t="shared" ref="G7:G24" si="1">(C7-F7)/C7</f>
        <v>1.4469332355684242E-4</v>
      </c>
      <c r="H7" s="4"/>
      <c r="I7" s="80"/>
      <c r="J7" s="4"/>
      <c r="K7" s="81"/>
    </row>
    <row r="8" spans="2:13" x14ac:dyDescent="0.2">
      <c r="B8" s="120" t="s">
        <v>12</v>
      </c>
      <c r="C8" s="115">
        <v>4142</v>
      </c>
      <c r="D8" s="116">
        <v>4123.2</v>
      </c>
      <c r="E8" s="117">
        <f t="shared" si="0"/>
        <v>4.5388701110575039E-3</v>
      </c>
      <c r="F8" s="116">
        <v>4134</v>
      </c>
      <c r="G8" s="118">
        <f t="shared" si="1"/>
        <v>1.9314340898116851E-3</v>
      </c>
      <c r="H8" s="4"/>
      <c r="J8" s="4"/>
      <c r="K8" s="50"/>
    </row>
    <row r="9" spans="2:13" x14ac:dyDescent="0.2">
      <c r="B9" s="114" t="s">
        <v>3</v>
      </c>
      <c r="C9" s="115">
        <v>16225</v>
      </c>
      <c r="D9" s="116">
        <v>16177.8</v>
      </c>
      <c r="E9" s="117">
        <f t="shared" si="0"/>
        <v>2.909090909090954E-3</v>
      </c>
      <c r="F9" s="116">
        <v>16220</v>
      </c>
      <c r="G9" s="118">
        <f t="shared" si="1"/>
        <v>3.0816640986132513E-4</v>
      </c>
      <c r="H9" s="50"/>
      <c r="J9" s="4"/>
      <c r="K9" s="50"/>
    </row>
    <row r="10" spans="2:13" x14ac:dyDescent="0.2">
      <c r="B10" s="114" t="s">
        <v>13</v>
      </c>
      <c r="C10" s="115">
        <v>35881</v>
      </c>
      <c r="D10" s="116">
        <v>35731.800000000003</v>
      </c>
      <c r="E10" s="117">
        <f t="shared" si="0"/>
        <v>4.1581895710821075E-3</v>
      </c>
      <c r="F10" s="116">
        <v>35819</v>
      </c>
      <c r="G10" s="118">
        <f t="shared" si="1"/>
        <v>1.727934004069006E-3</v>
      </c>
      <c r="H10" s="4"/>
      <c r="J10" s="4"/>
      <c r="K10" s="50"/>
    </row>
    <row r="11" spans="2:13" x14ac:dyDescent="0.2">
      <c r="B11" s="114" t="s">
        <v>14</v>
      </c>
      <c r="C11" s="115">
        <v>62487</v>
      </c>
      <c r="D11" s="116">
        <v>62080.6</v>
      </c>
      <c r="E11" s="117">
        <f t="shared" si="0"/>
        <v>6.5037527805783838E-3</v>
      </c>
      <c r="F11" s="116">
        <v>62148</v>
      </c>
      <c r="G11" s="118">
        <f t="shared" si="1"/>
        <v>5.4251284267127558E-3</v>
      </c>
      <c r="H11" s="4"/>
      <c r="J11" s="4"/>
      <c r="K11" s="50"/>
    </row>
    <row r="12" spans="2:13" ht="17" thickBot="1" x14ac:dyDescent="0.25">
      <c r="B12" s="119" t="s">
        <v>15</v>
      </c>
      <c r="C12" s="115">
        <v>97344</v>
      </c>
      <c r="D12" s="116">
        <v>96856.6</v>
      </c>
      <c r="E12" s="117">
        <f t="shared" si="0"/>
        <v>5.0069855358316302E-3</v>
      </c>
      <c r="F12" s="116">
        <v>96957</v>
      </c>
      <c r="G12" s="118">
        <f t="shared" si="1"/>
        <v>3.9755917159763317E-3</v>
      </c>
      <c r="H12" s="4"/>
      <c r="J12" s="4"/>
      <c r="K12" s="50"/>
      <c r="M12" s="4"/>
    </row>
    <row r="13" spans="2:13" x14ac:dyDescent="0.2">
      <c r="B13" s="120" t="s">
        <v>18</v>
      </c>
      <c r="C13" s="115">
        <v>7755.4106400000001</v>
      </c>
      <c r="D13" s="116">
        <v>7549.9539999999997</v>
      </c>
      <c r="E13" s="117">
        <f t="shared" si="0"/>
        <v>2.6492038853535207E-2</v>
      </c>
      <c r="F13" s="116">
        <v>7577.51</v>
      </c>
      <c r="G13" s="118">
        <f t="shared" si="1"/>
        <v>2.2938906559305007E-2</v>
      </c>
      <c r="J13" s="4"/>
      <c r="K13" s="50"/>
    </row>
    <row r="14" spans="2:13" x14ac:dyDescent="0.2">
      <c r="B14" s="114" t="s">
        <v>19</v>
      </c>
      <c r="C14" s="115">
        <v>7733.8613299999997</v>
      </c>
      <c r="D14" s="116">
        <v>7536.71</v>
      </c>
      <c r="E14" s="117">
        <f t="shared" si="0"/>
        <v>2.5491965990551282E-2</v>
      </c>
      <c r="F14" s="116">
        <v>7562.81</v>
      </c>
      <c r="G14" s="118">
        <f t="shared" si="1"/>
        <v>2.211719640439937E-2</v>
      </c>
      <c r="J14" s="4"/>
      <c r="K14" s="50"/>
    </row>
    <row r="15" spans="2:13" x14ac:dyDescent="0.2">
      <c r="B15" s="114" t="s">
        <v>20</v>
      </c>
      <c r="C15" s="115">
        <v>114201</v>
      </c>
      <c r="D15" s="116">
        <v>110584.4</v>
      </c>
      <c r="E15" s="117">
        <f t="shared" si="0"/>
        <v>3.1668724441992681E-2</v>
      </c>
      <c r="F15" s="116">
        <v>110780</v>
      </c>
      <c r="G15" s="118">
        <f t="shared" si="1"/>
        <v>2.9955954851533698E-2</v>
      </c>
      <c r="J15" s="4"/>
      <c r="K15" s="50"/>
    </row>
    <row r="16" spans="2:13" ht="17" thickBot="1" x14ac:dyDescent="0.25">
      <c r="B16" s="119" t="s">
        <v>21</v>
      </c>
      <c r="C16" s="115">
        <v>114191</v>
      </c>
      <c r="D16" s="116">
        <v>110555.8</v>
      </c>
      <c r="E16" s="117">
        <f t="shared" si="0"/>
        <v>3.1834382744699644E-2</v>
      </c>
      <c r="F16" s="116">
        <v>110688</v>
      </c>
      <c r="G16" s="118">
        <f t="shared" si="1"/>
        <v>3.0676673292991567E-2</v>
      </c>
      <c r="J16" s="4"/>
      <c r="K16" s="50"/>
    </row>
    <row r="17" spans="2:11" x14ac:dyDescent="0.2">
      <c r="B17" s="120" t="s">
        <v>24</v>
      </c>
      <c r="C17" s="115">
        <v>778802.9375</v>
      </c>
      <c r="D17" s="116">
        <v>758263.22400000005</v>
      </c>
      <c r="E17" s="117">
        <f t="shared" si="0"/>
        <v>2.6373441227550525E-2</v>
      </c>
      <c r="F17" s="116">
        <v>762006.79</v>
      </c>
      <c r="G17" s="118">
        <f t="shared" si="1"/>
        <v>2.1566620631807726E-2</v>
      </c>
      <c r="J17" s="4"/>
      <c r="K17" s="50"/>
    </row>
    <row r="18" spans="2:11" x14ac:dyDescent="0.2">
      <c r="B18" s="114" t="s">
        <v>25</v>
      </c>
      <c r="C18" s="115">
        <v>778644.8125</v>
      </c>
      <c r="D18" s="116">
        <v>756219.40800000005</v>
      </c>
      <c r="E18" s="117">
        <f t="shared" si="0"/>
        <v>2.8800557250228835E-2</v>
      </c>
      <c r="F18" s="116">
        <v>762741.41</v>
      </c>
      <c r="G18" s="118">
        <f t="shared" si="1"/>
        <v>2.0424463432741315E-2</v>
      </c>
      <c r="J18" s="4"/>
      <c r="K18" s="50"/>
    </row>
    <row r="19" spans="2:11" x14ac:dyDescent="0.2">
      <c r="B19" s="114" t="s">
        <v>26</v>
      </c>
      <c r="C19" s="115">
        <v>11295054.199999999</v>
      </c>
      <c r="D19" s="116">
        <v>10963803.327207999</v>
      </c>
      <c r="E19" s="117">
        <f t="shared" si="0"/>
        <v>2.9327072444858208E-2</v>
      </c>
      <c r="F19" s="116">
        <v>10972563.936208</v>
      </c>
      <c r="G19" s="118">
        <f t="shared" si="1"/>
        <v>2.8551457840016285E-2</v>
      </c>
      <c r="J19" s="4"/>
      <c r="K19" s="50"/>
    </row>
    <row r="20" spans="2:11" ht="17" thickBot="1" x14ac:dyDescent="0.25">
      <c r="B20" s="119" t="s">
        <v>27</v>
      </c>
      <c r="C20" s="115">
        <v>11307104.800000001</v>
      </c>
      <c r="D20" s="116">
        <v>10944691.956814</v>
      </c>
      <c r="E20" s="117">
        <f t="shared" si="0"/>
        <v>3.2051780680939682E-2</v>
      </c>
      <c r="F20" s="116">
        <v>10962181.094392</v>
      </c>
      <c r="G20" s="118">
        <f t="shared" si="1"/>
        <v>3.0505041892598443E-2</v>
      </c>
      <c r="H20" s="4"/>
      <c r="J20" s="4"/>
      <c r="K20" s="50"/>
    </row>
    <row r="21" spans="2:11" x14ac:dyDescent="0.2">
      <c r="B21" s="120" t="s">
        <v>29</v>
      </c>
      <c r="C21" s="115">
        <v>24899703</v>
      </c>
      <c r="D21" s="116">
        <v>24103052.600000001</v>
      </c>
      <c r="E21" s="117">
        <f t="shared" si="0"/>
        <v>3.1994373587508194E-2</v>
      </c>
      <c r="F21" s="116">
        <v>24125411</v>
      </c>
      <c r="G21" s="118">
        <f t="shared" si="1"/>
        <v>3.1096435166315037E-2</v>
      </c>
      <c r="K21" s="50"/>
    </row>
    <row r="22" spans="2:11" x14ac:dyDescent="0.2">
      <c r="B22" s="114" t="s">
        <v>30</v>
      </c>
      <c r="C22" s="115">
        <v>43476251</v>
      </c>
      <c r="D22" s="116">
        <v>42245586.200000003</v>
      </c>
      <c r="E22" s="117">
        <f t="shared" si="0"/>
        <v>2.8306598929148628E-2</v>
      </c>
      <c r="F22" s="116">
        <v>42333594</v>
      </c>
      <c r="G22" s="118">
        <f t="shared" si="1"/>
        <v>2.6282325953081834E-2</v>
      </c>
      <c r="J22" s="50"/>
      <c r="K22" s="50"/>
    </row>
    <row r="23" spans="2:11" x14ac:dyDescent="0.2">
      <c r="B23" s="114" t="s">
        <v>31</v>
      </c>
      <c r="C23" s="115">
        <v>66992877</v>
      </c>
      <c r="D23" s="121">
        <v>65454681.200000003</v>
      </c>
      <c r="E23" s="117">
        <f t="shared" si="0"/>
        <v>2.2960587287511134E-2</v>
      </c>
      <c r="F23" s="122">
        <v>65500821</v>
      </c>
      <c r="G23" s="118">
        <f t="shared" si="1"/>
        <v>2.2271860335241311E-2</v>
      </c>
      <c r="J23" s="50"/>
      <c r="K23" s="50"/>
    </row>
    <row r="24" spans="2:11" ht="17" thickBot="1" x14ac:dyDescent="0.25">
      <c r="B24" s="119" t="s">
        <v>32</v>
      </c>
      <c r="C24" s="123">
        <v>95643586</v>
      </c>
      <c r="D24" s="124">
        <v>93503486.599999994</v>
      </c>
      <c r="E24" s="125">
        <f t="shared" si="0"/>
        <v>2.2375775412686909E-2</v>
      </c>
      <c r="F24" s="124">
        <v>93575057</v>
      </c>
      <c r="G24" s="126">
        <f t="shared" si="1"/>
        <v>2.1627472227986097E-2</v>
      </c>
      <c r="J24" s="50"/>
      <c r="K24" s="50"/>
    </row>
    <row r="26" spans="2:11" ht="17" thickBot="1" x14ac:dyDescent="0.25"/>
    <row r="27" spans="2:11" ht="17" thickBot="1" x14ac:dyDescent="0.25">
      <c r="B27" s="109" t="s">
        <v>107</v>
      </c>
      <c r="C27" s="112" t="s">
        <v>5</v>
      </c>
      <c r="D27" s="111" t="s">
        <v>92</v>
      </c>
      <c r="E27" s="112" t="s">
        <v>37</v>
      </c>
      <c r="F27" s="111" t="s">
        <v>93</v>
      </c>
      <c r="G27" s="113" t="s">
        <v>37</v>
      </c>
    </row>
    <row r="28" spans="2:11" x14ac:dyDescent="0.2">
      <c r="B28" s="114" t="s">
        <v>8</v>
      </c>
      <c r="C28" s="115">
        <v>19477.328099999999</v>
      </c>
      <c r="D28" s="116">
        <v>19476.246416000002</v>
      </c>
      <c r="E28" s="127">
        <f>(C28-D28)/C28*100</f>
        <v>5.5535543399150315E-3</v>
      </c>
      <c r="F28" s="116">
        <v>19477.325769999999</v>
      </c>
      <c r="G28" s="128">
        <f>(C28-F28)/C28*100</f>
        <v>1.1962626431019101E-5</v>
      </c>
    </row>
    <row r="29" spans="2:11" ht="17" thickBot="1" x14ac:dyDescent="0.25">
      <c r="B29" s="119" t="s">
        <v>9</v>
      </c>
      <c r="C29" s="115">
        <v>19604.84375</v>
      </c>
      <c r="D29" s="116">
        <v>19604.843560000001</v>
      </c>
      <c r="E29" s="127">
        <f t="shared" ref="E29:E46" si="2">(C29-D29)/C29*100</f>
        <v>9.691482434700613E-7</v>
      </c>
      <c r="F29" s="116">
        <v>19604.843560000001</v>
      </c>
      <c r="G29" s="128">
        <f t="shared" ref="G29:G46" si="3">(C29-F29)/C29*100</f>
        <v>9.691482434700613E-7</v>
      </c>
    </row>
    <row r="30" spans="2:11" x14ac:dyDescent="0.2">
      <c r="B30" s="120" t="s">
        <v>12</v>
      </c>
      <c r="C30" s="115">
        <v>4142</v>
      </c>
      <c r="D30" s="116">
        <v>4127.3999999999996</v>
      </c>
      <c r="E30" s="127">
        <f t="shared" si="2"/>
        <v>0.3524867213906413</v>
      </c>
      <c r="F30" s="116">
        <v>4137</v>
      </c>
      <c r="G30" s="128">
        <f t="shared" si="3"/>
        <v>0.12071463061323032</v>
      </c>
    </row>
    <row r="31" spans="2:11" x14ac:dyDescent="0.2">
      <c r="B31" s="114" t="s">
        <v>3</v>
      </c>
      <c r="C31" s="115">
        <v>16225</v>
      </c>
      <c r="D31" s="129">
        <v>16187.6</v>
      </c>
      <c r="E31" s="127">
        <f t="shared" si="2"/>
        <v>0.23050847457626891</v>
      </c>
      <c r="F31" s="116">
        <v>16212</v>
      </c>
      <c r="G31" s="128">
        <f t="shared" si="3"/>
        <v>8.0123266563944529E-2</v>
      </c>
    </row>
    <row r="32" spans="2:11" x14ac:dyDescent="0.2">
      <c r="B32" s="114" t="s">
        <v>13</v>
      </c>
      <c r="C32" s="115">
        <v>35881</v>
      </c>
      <c r="D32" s="116">
        <v>35821</v>
      </c>
      <c r="E32" s="127">
        <f t="shared" si="2"/>
        <v>0.16721941974861348</v>
      </c>
      <c r="F32" s="116">
        <v>35844</v>
      </c>
      <c r="G32" s="128">
        <f t="shared" si="3"/>
        <v>0.10311864217831164</v>
      </c>
    </row>
    <row r="33" spans="2:7" x14ac:dyDescent="0.2">
      <c r="B33" s="114" t="s">
        <v>14</v>
      </c>
      <c r="C33" s="115">
        <v>62487</v>
      </c>
      <c r="D33" s="116">
        <v>62275</v>
      </c>
      <c r="E33" s="127">
        <f t="shared" si="2"/>
        <v>0.33927056827820185</v>
      </c>
      <c r="F33" s="116">
        <v>62346</v>
      </c>
      <c r="G33" s="128">
        <f t="shared" si="3"/>
        <v>0.22564693456238899</v>
      </c>
    </row>
    <row r="34" spans="2:7" ht="17" thickBot="1" x14ac:dyDescent="0.25">
      <c r="B34" s="119" t="s">
        <v>15</v>
      </c>
      <c r="C34" s="115">
        <v>97344</v>
      </c>
      <c r="D34" s="116">
        <v>97079.4</v>
      </c>
      <c r="E34" s="127">
        <f t="shared" si="2"/>
        <v>0.27181952662722492</v>
      </c>
      <c r="F34" s="116">
        <v>97164</v>
      </c>
      <c r="G34" s="128">
        <f t="shared" si="3"/>
        <v>0.1849112426035503</v>
      </c>
    </row>
    <row r="35" spans="2:7" x14ac:dyDescent="0.2">
      <c r="B35" s="120" t="s">
        <v>18</v>
      </c>
      <c r="C35" s="115">
        <v>7755.4106400000001</v>
      </c>
      <c r="D35" s="116">
        <v>7655.98</v>
      </c>
      <c r="E35" s="127">
        <f t="shared" si="2"/>
        <v>1.2820809189286269</v>
      </c>
      <c r="F35" s="116">
        <v>7672.97</v>
      </c>
      <c r="G35" s="128">
        <f t="shared" si="3"/>
        <v>1.0630080575591521</v>
      </c>
    </row>
    <row r="36" spans="2:7" x14ac:dyDescent="0.2">
      <c r="B36" s="114" t="s">
        <v>19</v>
      </c>
      <c r="C36" s="115">
        <v>7733.8613299999997</v>
      </c>
      <c r="D36" s="116">
        <v>7661.1279999999997</v>
      </c>
      <c r="E36" s="127">
        <f t="shared" si="2"/>
        <v>0.94045298844270886</v>
      </c>
      <c r="F36" s="116">
        <v>7689.63</v>
      </c>
      <c r="G36" s="128">
        <f t="shared" si="3"/>
        <v>0.57191780551358318</v>
      </c>
    </row>
    <row r="37" spans="2:7" x14ac:dyDescent="0.2">
      <c r="B37" s="114" t="s">
        <v>20</v>
      </c>
      <c r="C37" s="115">
        <v>114201</v>
      </c>
      <c r="D37" s="116">
        <v>112759.8</v>
      </c>
      <c r="E37" s="127">
        <f t="shared" si="2"/>
        <v>1.261985446712373</v>
      </c>
      <c r="F37" s="116">
        <v>112933</v>
      </c>
      <c r="G37" s="128">
        <f t="shared" si="3"/>
        <v>1.1103230269437221</v>
      </c>
    </row>
    <row r="38" spans="2:7" ht="17" thickBot="1" x14ac:dyDescent="0.25">
      <c r="B38" s="119" t="s">
        <v>21</v>
      </c>
      <c r="C38" s="115">
        <v>114191</v>
      </c>
      <c r="D38" s="116">
        <v>113002.2</v>
      </c>
      <c r="E38" s="127">
        <f t="shared" si="2"/>
        <v>1.0410627807795736</v>
      </c>
      <c r="F38" s="116">
        <v>113014</v>
      </c>
      <c r="G38" s="128">
        <f t="shared" si="3"/>
        <v>1.0307292168384548</v>
      </c>
    </row>
    <row r="39" spans="2:7" x14ac:dyDescent="0.2">
      <c r="B39" s="120" t="s">
        <v>24</v>
      </c>
      <c r="C39" s="115">
        <v>778802.9375</v>
      </c>
      <c r="D39" s="116">
        <v>769626.03200000001</v>
      </c>
      <c r="E39" s="127">
        <f t="shared" si="2"/>
        <v>1.1783347311783854</v>
      </c>
      <c r="F39" s="116">
        <v>770856.53</v>
      </c>
      <c r="G39" s="128">
        <f t="shared" si="3"/>
        <v>1.0203360975381492</v>
      </c>
    </row>
    <row r="40" spans="2:7" x14ac:dyDescent="0.2">
      <c r="B40" s="114" t="s">
        <v>25</v>
      </c>
      <c r="C40" s="115">
        <v>778644.8125</v>
      </c>
      <c r="D40" s="116">
        <v>766910.52599999995</v>
      </c>
      <c r="E40" s="127">
        <f t="shared" si="2"/>
        <v>1.5070140212357797</v>
      </c>
      <c r="F40" s="116">
        <v>768688.79</v>
      </c>
      <c r="G40" s="128">
        <f t="shared" si="3"/>
        <v>1.2786346663036379</v>
      </c>
    </row>
    <row r="41" spans="2:7" x14ac:dyDescent="0.2">
      <c r="B41" s="114" t="s">
        <v>26</v>
      </c>
      <c r="C41" s="115">
        <v>11295054.199999999</v>
      </c>
      <c r="D41" s="116">
        <v>11167721.16141</v>
      </c>
      <c r="E41" s="127">
        <f t="shared" si="2"/>
        <v>1.1273344628129283</v>
      </c>
      <c r="F41" s="130">
        <v>11178685.14844</v>
      </c>
      <c r="G41" s="128">
        <f t="shared" si="3"/>
        <v>1.0302655436571486</v>
      </c>
    </row>
    <row r="42" spans="2:7" ht="17" thickBot="1" x14ac:dyDescent="0.25">
      <c r="B42" s="119" t="s">
        <v>27</v>
      </c>
      <c r="C42" s="115">
        <v>11307104.800000001</v>
      </c>
      <c r="D42" s="116">
        <v>11174072.356083</v>
      </c>
      <c r="E42" s="127">
        <f t="shared" si="2"/>
        <v>1.1765385239641597</v>
      </c>
      <c r="F42" s="116">
        <v>11184595.6971</v>
      </c>
      <c r="G42" s="128">
        <f t="shared" si="3"/>
        <v>1.083470128445261</v>
      </c>
    </row>
    <row r="43" spans="2:7" x14ac:dyDescent="0.2">
      <c r="B43" s="120" t="s">
        <v>29</v>
      </c>
      <c r="C43" s="115">
        <v>24899703</v>
      </c>
      <c r="D43" s="131">
        <v>24654541</v>
      </c>
      <c r="E43" s="127">
        <f t="shared" si="2"/>
        <v>0.98459808938283311</v>
      </c>
      <c r="F43" s="131">
        <v>24667562</v>
      </c>
      <c r="G43" s="128">
        <f t="shared" si="3"/>
        <v>0.93230429294678741</v>
      </c>
    </row>
    <row r="44" spans="2:7" x14ac:dyDescent="0.2">
      <c r="B44" s="114" t="s">
        <v>30</v>
      </c>
      <c r="C44" s="115">
        <v>43476251</v>
      </c>
      <c r="D44" s="131">
        <v>43113794</v>
      </c>
      <c r="E44" s="127">
        <f t="shared" si="2"/>
        <v>0.83368963897094073</v>
      </c>
      <c r="F44" s="129">
        <v>43133097</v>
      </c>
      <c r="G44" s="128">
        <f t="shared" si="3"/>
        <v>0.78929068654056667</v>
      </c>
    </row>
    <row r="45" spans="2:7" x14ac:dyDescent="0.2">
      <c r="B45" s="114" t="s">
        <v>31</v>
      </c>
      <c r="C45" s="115">
        <v>66992877</v>
      </c>
      <c r="D45" s="116">
        <v>66609140</v>
      </c>
      <c r="E45" s="127">
        <f t="shared" si="2"/>
        <v>0.57280268766483933</v>
      </c>
      <c r="F45" s="116">
        <v>66630770</v>
      </c>
      <c r="G45" s="128">
        <f t="shared" si="3"/>
        <v>0.54051567303192549</v>
      </c>
    </row>
    <row r="46" spans="2:7" ht="17" thickBot="1" x14ac:dyDescent="0.25">
      <c r="B46" s="119" t="s">
        <v>32</v>
      </c>
      <c r="C46" s="123">
        <v>95643586</v>
      </c>
      <c r="D46" s="132">
        <v>95028378</v>
      </c>
      <c r="E46" s="133">
        <f t="shared" si="2"/>
        <v>0.64322975092130064</v>
      </c>
      <c r="F46" s="134">
        <v>95032648</v>
      </c>
      <c r="G46" s="135">
        <f t="shared" si="3"/>
        <v>0.63876525917796523</v>
      </c>
    </row>
    <row r="49" spans="2:14" x14ac:dyDescent="0.2">
      <c r="B49" s="83"/>
      <c r="C49" s="86"/>
      <c r="D49" s="87"/>
      <c r="E49" s="87"/>
      <c r="F49" s="87"/>
      <c r="G49" s="87"/>
      <c r="H49" s="49"/>
      <c r="I49" s="49"/>
      <c r="J49" s="49"/>
      <c r="K49" s="49"/>
      <c r="L49" s="49"/>
      <c r="M49" s="49"/>
      <c r="N49" s="49"/>
    </row>
    <row r="50" spans="2:14" x14ac:dyDescent="0.2">
      <c r="B50" s="83"/>
      <c r="C50" s="88"/>
      <c r="D50" s="83"/>
      <c r="E50" s="49"/>
      <c r="F50" s="50"/>
      <c r="G50" s="50"/>
      <c r="H50" s="50"/>
      <c r="I50" s="50"/>
      <c r="J50" s="50"/>
      <c r="K50" s="50"/>
    </row>
    <row r="51" spans="2:14" x14ac:dyDescent="0.2">
      <c r="B51" s="83"/>
      <c r="C51" s="88"/>
      <c r="D51" s="83"/>
      <c r="E51" s="49"/>
      <c r="F51" s="50"/>
      <c r="G51" s="50"/>
      <c r="H51" s="50"/>
      <c r="I51" s="50"/>
      <c r="J51" s="50"/>
      <c r="K51" s="50"/>
    </row>
    <row r="52" spans="2:14" x14ac:dyDescent="0.2">
      <c r="B52" s="83"/>
      <c r="C52" s="88"/>
      <c r="D52" s="83"/>
      <c r="E52" s="49"/>
      <c r="F52" s="50"/>
      <c r="G52" s="50"/>
      <c r="H52" s="50"/>
      <c r="I52" s="50"/>
      <c r="J52" s="50"/>
      <c r="K52" s="50"/>
    </row>
    <row r="53" spans="2:14" x14ac:dyDescent="0.2">
      <c r="D53" s="88"/>
      <c r="E53" s="83"/>
      <c r="F53" s="88"/>
      <c r="G53" s="83"/>
      <c r="H53" s="49"/>
      <c r="I53" s="50"/>
      <c r="J53" s="50"/>
      <c r="K53" s="50"/>
      <c r="L53" s="50"/>
      <c r="M53" s="50"/>
      <c r="N53" s="50"/>
    </row>
    <row r="54" spans="2:14" x14ac:dyDescent="0.2">
      <c r="D54" s="88"/>
      <c r="E54" s="83"/>
      <c r="F54" s="88"/>
      <c r="G54" s="83"/>
    </row>
    <row r="55" spans="2:14" x14ac:dyDescent="0.2">
      <c r="D55" s="88"/>
      <c r="E55" s="83"/>
      <c r="F55" s="88"/>
      <c r="G55" s="83"/>
    </row>
    <row r="56" spans="2:14" x14ac:dyDescent="0.2">
      <c r="D56" s="88"/>
      <c r="E56" s="83"/>
      <c r="F56" s="88"/>
      <c r="G56" s="83"/>
    </row>
    <row r="57" spans="2:14" x14ac:dyDescent="0.2">
      <c r="D57" s="88"/>
      <c r="E57" s="83"/>
      <c r="F57" s="88"/>
      <c r="G57" s="83"/>
    </row>
    <row r="58" spans="2:14" x14ac:dyDescent="0.2">
      <c r="D58" s="88"/>
      <c r="E58" s="83"/>
      <c r="F58" s="88"/>
      <c r="G58" s="83"/>
    </row>
    <row r="59" spans="2:14" x14ac:dyDescent="0.2">
      <c r="D59" s="88"/>
      <c r="E59" s="83"/>
      <c r="F59" s="88"/>
      <c r="G59" s="83"/>
    </row>
    <row r="60" spans="2:14" x14ac:dyDescent="0.2">
      <c r="D60" s="88"/>
      <c r="E60" s="83"/>
      <c r="F60" s="88"/>
      <c r="G60" s="83"/>
    </row>
    <row r="61" spans="2:14" x14ac:dyDescent="0.2">
      <c r="D61" s="83"/>
      <c r="E61" s="83"/>
      <c r="F61" s="83"/>
      <c r="G61" s="83"/>
    </row>
    <row r="62" spans="2:14" x14ac:dyDescent="0.2">
      <c r="D62" s="83"/>
      <c r="E62" s="83"/>
      <c r="F62" s="83"/>
      <c r="G62" s="83"/>
    </row>
    <row r="63" spans="2:14" x14ac:dyDescent="0.2">
      <c r="D63" s="88"/>
      <c r="E63" s="83"/>
      <c r="F63" s="88"/>
      <c r="G63" s="83"/>
    </row>
    <row r="64" spans="2:14" x14ac:dyDescent="0.2">
      <c r="D64" s="88"/>
      <c r="E64" s="83"/>
      <c r="F64" s="88"/>
      <c r="G64" s="83"/>
    </row>
    <row r="65" spans="4:7" x14ac:dyDescent="0.2">
      <c r="D65" s="88"/>
      <c r="E65" s="83"/>
      <c r="F65" s="88"/>
      <c r="G65" s="83"/>
    </row>
    <row r="66" spans="4:7" x14ac:dyDescent="0.2">
      <c r="D66" s="88"/>
      <c r="E66" s="83"/>
      <c r="F66" s="88"/>
      <c r="G66" s="83"/>
    </row>
    <row r="67" spans="4:7" x14ac:dyDescent="0.2">
      <c r="D67" s="88"/>
      <c r="E67" s="83"/>
      <c r="F67" s="88"/>
      <c r="G67" s="83"/>
    </row>
    <row r="68" spans="4:7" x14ac:dyDescent="0.2">
      <c r="D68" s="88"/>
      <c r="E68" s="83"/>
      <c r="F68" s="88"/>
      <c r="G68" s="83"/>
    </row>
    <row r="69" spans="4:7" x14ac:dyDescent="0.2">
      <c r="D69" s="83"/>
      <c r="E69" s="83"/>
      <c r="F69" s="83"/>
      <c r="G69" s="8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3D85-DB2D-5A4D-8B0D-69B28127D55F}">
  <dimension ref="A1:O52"/>
  <sheetViews>
    <sheetView tabSelected="1" zoomScale="75" zoomScaleNormal="57" workbookViewId="0">
      <selection activeCell="C50" sqref="C50"/>
    </sheetView>
  </sheetViews>
  <sheetFormatPr baseColWidth="10" defaultRowHeight="16" x14ac:dyDescent="0.2"/>
  <cols>
    <col min="3" max="3" width="27.5" bestFit="1" customWidth="1"/>
    <col min="4" max="4" width="14" bestFit="1" customWidth="1"/>
    <col min="5" max="5" width="13.33203125" bestFit="1" customWidth="1"/>
    <col min="6" max="6" width="14.6640625" bestFit="1" customWidth="1"/>
    <col min="7" max="7" width="14" bestFit="1" customWidth="1"/>
    <col min="8" max="8" width="12.1640625" bestFit="1" customWidth="1"/>
    <col min="9" max="9" width="14" bestFit="1" customWidth="1"/>
    <col min="10" max="10" width="13.83203125" bestFit="1" customWidth="1"/>
    <col min="11" max="11" width="11.6640625" bestFit="1" customWidth="1"/>
    <col min="12" max="12" width="12.5" bestFit="1" customWidth="1"/>
    <col min="13" max="13" width="9.5" customWidth="1"/>
    <col min="15" max="15" width="11.5" bestFit="1" customWidth="1"/>
  </cols>
  <sheetData>
    <row r="1" spans="1:15" ht="17" thickBot="1" x14ac:dyDescent="0.25"/>
    <row r="2" spans="1:15" x14ac:dyDescent="0.2">
      <c r="C2" s="147" t="s">
        <v>89</v>
      </c>
      <c r="D2" s="149" t="s">
        <v>5</v>
      </c>
      <c r="E2" s="100" t="s">
        <v>95</v>
      </c>
      <c r="F2" s="104" t="s">
        <v>96</v>
      </c>
      <c r="G2" s="100" t="s">
        <v>97</v>
      </c>
      <c r="H2" s="104" t="s">
        <v>96</v>
      </c>
      <c r="I2" s="100" t="s">
        <v>95</v>
      </c>
      <c r="J2" s="104" t="s">
        <v>96</v>
      </c>
      <c r="K2" s="104" t="s">
        <v>97</v>
      </c>
      <c r="L2" s="101" t="s">
        <v>96</v>
      </c>
    </row>
    <row r="3" spans="1:15" ht="17" thickBot="1" x14ac:dyDescent="0.25">
      <c r="C3" s="148"/>
      <c r="D3" s="150"/>
      <c r="E3" s="102" t="s">
        <v>94</v>
      </c>
      <c r="F3" s="105" t="s">
        <v>101</v>
      </c>
      <c r="G3" s="102" t="s">
        <v>98</v>
      </c>
      <c r="H3" s="105" t="s">
        <v>102</v>
      </c>
      <c r="I3" s="102" t="s">
        <v>99</v>
      </c>
      <c r="J3" s="105" t="s">
        <v>103</v>
      </c>
      <c r="K3" s="105" t="s">
        <v>100</v>
      </c>
      <c r="L3" s="103" t="s">
        <v>104</v>
      </c>
      <c r="M3" s="1"/>
      <c r="N3" s="1"/>
      <c r="O3" s="1"/>
    </row>
    <row r="4" spans="1:15" x14ac:dyDescent="0.2">
      <c r="A4" s="146" t="s">
        <v>105</v>
      </c>
      <c r="B4">
        <v>1</v>
      </c>
      <c r="C4" s="91" t="s">
        <v>8</v>
      </c>
      <c r="D4" s="91">
        <v>19477.328099999999</v>
      </c>
      <c r="E4" s="93">
        <v>19474.8</v>
      </c>
      <c r="F4" s="94">
        <f>(D4-E4)/D4*100</f>
        <v>1.2979706390013218E-2</v>
      </c>
      <c r="G4" s="93">
        <v>19474.023000000001</v>
      </c>
      <c r="H4" s="95">
        <f>(D4-G4)/D4*100</f>
        <v>1.6968959926273279E-2</v>
      </c>
      <c r="I4" s="93">
        <v>19477.32</v>
      </c>
      <c r="J4" s="95">
        <f>(D4-I4)/D4*100</f>
        <v>4.158681292175595E-5</v>
      </c>
      <c r="K4" s="93">
        <v>19474.569</v>
      </c>
      <c r="L4" s="96">
        <f>(D4-K4)/D4*100</f>
        <v>1.4165700684578536E-2</v>
      </c>
      <c r="N4" s="7"/>
      <c r="O4" s="1"/>
    </row>
    <row r="5" spans="1:15" ht="17" thickBot="1" x14ac:dyDescent="0.25">
      <c r="A5" s="146"/>
      <c r="B5">
        <v>2</v>
      </c>
      <c r="C5" s="152" t="s">
        <v>9</v>
      </c>
      <c r="D5" s="153">
        <v>19604.84375</v>
      </c>
      <c r="E5" s="151">
        <v>19604.843560000001</v>
      </c>
      <c r="F5" s="154">
        <f>(D5-E5)/D5*100</f>
        <v>9.691482434700613E-7</v>
      </c>
      <c r="G5" s="151">
        <v>19604.843560000001</v>
      </c>
      <c r="H5" s="155">
        <f t="shared" ref="H5:H22" si="0">(D5-G5)/D5*100</f>
        <v>9.691482434700613E-7</v>
      </c>
      <c r="I5" s="151">
        <v>19604.843560000001</v>
      </c>
      <c r="J5" s="155">
        <f t="shared" ref="J5:J22" si="1">(D5-I5)/D5*100</f>
        <v>9.691482434700613E-7</v>
      </c>
      <c r="K5" s="151">
        <v>19603.89806</v>
      </c>
      <c r="L5" s="156">
        <f t="shared" ref="L5:L22" si="2">(D5-K5)/D5*100</f>
        <v>4.8237568840632464E-3</v>
      </c>
      <c r="N5" s="7"/>
      <c r="O5" s="1"/>
    </row>
    <row r="6" spans="1:15" x14ac:dyDescent="0.2">
      <c r="A6" s="146"/>
      <c r="B6">
        <v>3</v>
      </c>
      <c r="C6" s="157" t="s">
        <v>12</v>
      </c>
      <c r="D6" s="153">
        <v>4142</v>
      </c>
      <c r="E6" s="158">
        <v>4135</v>
      </c>
      <c r="F6" s="154">
        <f t="shared" ref="F6:F22" si="3">(D6-E6)/D6*100</f>
        <v>0.16900048285852245</v>
      </c>
      <c r="G6" s="158">
        <v>4128</v>
      </c>
      <c r="H6" s="155">
        <f t="shared" si="0"/>
        <v>0.33800096571704491</v>
      </c>
      <c r="I6" s="151">
        <v>4137</v>
      </c>
      <c r="J6" s="155">
        <f t="shared" si="1"/>
        <v>0.12071463061323032</v>
      </c>
      <c r="K6" s="151">
        <v>4129.8</v>
      </c>
      <c r="L6" s="156">
        <f t="shared" si="2"/>
        <v>0.29454369869627761</v>
      </c>
      <c r="N6" s="7"/>
      <c r="O6" s="1"/>
    </row>
    <row r="7" spans="1:15" x14ac:dyDescent="0.2">
      <c r="A7" s="146"/>
      <c r="B7">
        <v>4</v>
      </c>
      <c r="C7" s="153" t="s">
        <v>3</v>
      </c>
      <c r="D7" s="153">
        <v>16225</v>
      </c>
      <c r="E7" s="151">
        <v>16217</v>
      </c>
      <c r="F7" s="154">
        <f t="shared" si="3"/>
        <v>4.9306625577812013E-2</v>
      </c>
      <c r="G7" s="151">
        <v>16186.333329999999</v>
      </c>
      <c r="H7" s="155">
        <f t="shared" si="0"/>
        <v>0.23831537750385531</v>
      </c>
      <c r="I7" s="151">
        <v>16206</v>
      </c>
      <c r="J7" s="155">
        <f t="shared" si="1"/>
        <v>0.11710323574730354</v>
      </c>
      <c r="K7" s="151">
        <v>16177.4</v>
      </c>
      <c r="L7" s="156">
        <f t="shared" si="2"/>
        <v>0.29337442218798376</v>
      </c>
      <c r="N7" s="7"/>
      <c r="O7" s="1"/>
    </row>
    <row r="8" spans="1:15" x14ac:dyDescent="0.2">
      <c r="A8" s="146"/>
      <c r="B8">
        <v>5</v>
      </c>
      <c r="C8" s="153" t="s">
        <v>13</v>
      </c>
      <c r="D8" s="153">
        <v>35881</v>
      </c>
      <c r="E8" s="151">
        <v>35836</v>
      </c>
      <c r="F8" s="154">
        <f t="shared" si="3"/>
        <v>0.1254145648114601</v>
      </c>
      <c r="G8" s="151">
        <v>35810.33</v>
      </c>
      <c r="H8" s="155">
        <f t="shared" si="0"/>
        <v>0.1969566065605704</v>
      </c>
      <c r="I8" s="151">
        <v>35836</v>
      </c>
      <c r="J8" s="155">
        <f t="shared" si="1"/>
        <v>0.1254145648114601</v>
      </c>
      <c r="K8" s="151">
        <v>35801.800000000003</v>
      </c>
      <c r="L8" s="156">
        <f t="shared" si="2"/>
        <v>0.22072963406816168</v>
      </c>
      <c r="N8" s="7"/>
      <c r="O8" s="1"/>
    </row>
    <row r="9" spans="1:15" x14ac:dyDescent="0.2">
      <c r="A9" s="146"/>
      <c r="B9">
        <v>6</v>
      </c>
      <c r="C9" s="153" t="s">
        <v>14</v>
      </c>
      <c r="D9" s="153">
        <v>62487</v>
      </c>
      <c r="E9" s="151">
        <v>62323</v>
      </c>
      <c r="F9" s="154">
        <f t="shared" si="3"/>
        <v>0.26245459055483539</v>
      </c>
      <c r="G9" s="151">
        <v>62242.8</v>
      </c>
      <c r="H9" s="155">
        <f t="shared" si="0"/>
        <v>0.39080128666762221</v>
      </c>
      <c r="I9" s="151">
        <v>62347</v>
      </c>
      <c r="J9" s="155">
        <f t="shared" si="1"/>
        <v>0.22404660169315216</v>
      </c>
      <c r="K9" s="151">
        <v>62313.8</v>
      </c>
      <c r="L9" s="156">
        <f t="shared" si="2"/>
        <v>0.27717765295180929</v>
      </c>
      <c r="N9" s="7"/>
      <c r="O9" s="1"/>
    </row>
    <row r="10" spans="1:15" ht="17" thickBot="1" x14ac:dyDescent="0.25">
      <c r="A10" s="146"/>
      <c r="B10">
        <v>7</v>
      </c>
      <c r="C10" s="152" t="s">
        <v>15</v>
      </c>
      <c r="D10" s="153">
        <v>97344</v>
      </c>
      <c r="E10" s="151">
        <v>97131</v>
      </c>
      <c r="F10" s="154">
        <f t="shared" si="3"/>
        <v>0.21881163708086784</v>
      </c>
      <c r="G10" s="151">
        <v>97055.8</v>
      </c>
      <c r="H10" s="155">
        <f t="shared" si="0"/>
        <v>0.29606344510190363</v>
      </c>
      <c r="I10" s="151">
        <v>97108</v>
      </c>
      <c r="J10" s="155">
        <f t="shared" si="1"/>
        <v>0.24243918474687706</v>
      </c>
      <c r="K10" s="151">
        <v>97047</v>
      </c>
      <c r="L10" s="156">
        <f t="shared" si="2"/>
        <v>0.30510355029585801</v>
      </c>
      <c r="N10" s="7"/>
      <c r="O10" s="1"/>
    </row>
    <row r="11" spans="1:15" x14ac:dyDescent="0.2">
      <c r="A11" s="146"/>
      <c r="B11">
        <v>8</v>
      </c>
      <c r="C11" s="157" t="s">
        <v>18</v>
      </c>
      <c r="D11" s="153">
        <v>7755.4106400000001</v>
      </c>
      <c r="E11" s="151">
        <v>7693.99</v>
      </c>
      <c r="F11" s="154">
        <f t="shared" si="3"/>
        <v>0.79197147451111982</v>
      </c>
      <c r="G11" s="151">
        <v>7676.51</v>
      </c>
      <c r="H11" s="155">
        <f t="shared" si="0"/>
        <v>1.0173625055139548</v>
      </c>
      <c r="I11" s="151">
        <v>7729.56</v>
      </c>
      <c r="J11" s="155">
        <f t="shared" si="1"/>
        <v>0.33332393602306604</v>
      </c>
      <c r="K11" s="151">
        <v>7678.32</v>
      </c>
      <c r="L11" s="156">
        <f t="shared" si="2"/>
        <v>0.99402396054169928</v>
      </c>
      <c r="N11" s="7"/>
      <c r="O11" s="1"/>
    </row>
    <row r="12" spans="1:15" x14ac:dyDescent="0.2">
      <c r="A12" s="146"/>
      <c r="B12">
        <v>9</v>
      </c>
      <c r="C12" s="153" t="s">
        <v>19</v>
      </c>
      <c r="D12" s="153">
        <v>7733.8613299999997</v>
      </c>
      <c r="E12" s="151">
        <v>7682.17</v>
      </c>
      <c r="F12" s="154">
        <f t="shared" si="3"/>
        <v>0.6683767369798399</v>
      </c>
      <c r="G12" s="151">
        <v>7664.5533299999997</v>
      </c>
      <c r="H12" s="155">
        <f t="shared" si="0"/>
        <v>0.89616295201920826</v>
      </c>
      <c r="I12" s="151">
        <v>7692.02</v>
      </c>
      <c r="J12" s="155">
        <f t="shared" si="1"/>
        <v>0.54101474301969787</v>
      </c>
      <c r="K12" s="151">
        <v>7668.44</v>
      </c>
      <c r="L12" s="156">
        <f t="shared" si="2"/>
        <v>0.84590771942377363</v>
      </c>
      <c r="N12" s="7"/>
      <c r="O12" s="1"/>
    </row>
    <row r="13" spans="1:15" x14ac:dyDescent="0.2">
      <c r="A13" s="146"/>
      <c r="B13">
        <v>10</v>
      </c>
      <c r="C13" s="153" t="s">
        <v>20</v>
      </c>
      <c r="D13" s="153">
        <v>114201</v>
      </c>
      <c r="E13" s="151">
        <v>112975</v>
      </c>
      <c r="F13" s="154">
        <f t="shared" si="3"/>
        <v>1.0735457657988985</v>
      </c>
      <c r="G13" s="151">
        <v>112788.66667000001</v>
      </c>
      <c r="H13" s="155">
        <f t="shared" si="0"/>
        <v>1.2367083738320979</v>
      </c>
      <c r="I13" s="151">
        <v>113058</v>
      </c>
      <c r="J13" s="155">
        <f t="shared" si="1"/>
        <v>1.000866892584128</v>
      </c>
      <c r="K13" s="151">
        <v>112954</v>
      </c>
      <c r="L13" s="156">
        <f t="shared" si="2"/>
        <v>1.0919343963713102</v>
      </c>
      <c r="N13" s="7"/>
      <c r="O13" s="1"/>
    </row>
    <row r="14" spans="1:15" ht="17" thickBot="1" x14ac:dyDescent="0.25">
      <c r="A14" s="146"/>
      <c r="B14">
        <v>11</v>
      </c>
      <c r="C14" s="152" t="s">
        <v>21</v>
      </c>
      <c r="D14" s="153">
        <v>114191</v>
      </c>
      <c r="E14" s="151">
        <v>113138</v>
      </c>
      <c r="F14" s="154">
        <f t="shared" si="3"/>
        <v>0.92213922288096262</v>
      </c>
      <c r="G14" s="151">
        <v>112938</v>
      </c>
      <c r="H14" s="155">
        <f t="shared" si="0"/>
        <v>1.0972843744253049</v>
      </c>
      <c r="I14" s="151">
        <v>113202</v>
      </c>
      <c r="J14" s="155">
        <f t="shared" si="1"/>
        <v>0.86609277438677301</v>
      </c>
      <c r="K14" s="151">
        <v>113098.4</v>
      </c>
      <c r="L14" s="156">
        <f t="shared" si="2"/>
        <v>0.95681796288674748</v>
      </c>
      <c r="N14" s="7"/>
      <c r="O14" s="1"/>
    </row>
    <row r="15" spans="1:15" x14ac:dyDescent="0.2">
      <c r="A15" s="146"/>
      <c r="B15">
        <v>12</v>
      </c>
      <c r="C15" s="157" t="s">
        <v>24</v>
      </c>
      <c r="D15" s="153">
        <v>778802.9375</v>
      </c>
      <c r="E15" s="151">
        <v>771778.14</v>
      </c>
      <c r="F15" s="154">
        <f t="shared" si="3"/>
        <v>0.90199935847057411</v>
      </c>
      <c r="G15" s="151">
        <v>769821.96666999999</v>
      </c>
      <c r="H15" s="155">
        <f t="shared" si="0"/>
        <v>1.1531762911461805</v>
      </c>
      <c r="I15" s="151">
        <v>772958.3</v>
      </c>
      <c r="J15" s="155">
        <f t="shared" si="1"/>
        <v>0.75046423409258822</v>
      </c>
      <c r="K15" s="151">
        <v>771557.12</v>
      </c>
      <c r="L15" s="156">
        <f t="shared" si="2"/>
        <v>0.93037880972296727</v>
      </c>
      <c r="N15" s="7"/>
      <c r="O15" s="1"/>
    </row>
    <row r="16" spans="1:15" x14ac:dyDescent="0.2">
      <c r="A16" s="146"/>
      <c r="B16">
        <v>13</v>
      </c>
      <c r="C16" s="153" t="s">
        <v>25</v>
      </c>
      <c r="D16" s="153">
        <v>778644.8125</v>
      </c>
      <c r="E16" s="151">
        <v>768788.29</v>
      </c>
      <c r="F16" s="154">
        <f t="shared" si="3"/>
        <v>1.2658560542326815</v>
      </c>
      <c r="G16" s="151">
        <v>767480.98332999996</v>
      </c>
      <c r="H16" s="155">
        <f t="shared" si="0"/>
        <v>1.4337511777875025</v>
      </c>
      <c r="I16" s="151">
        <v>770391.34</v>
      </c>
      <c r="J16" s="155">
        <f t="shared" si="1"/>
        <v>1.0599791288020728</v>
      </c>
      <c r="K16" s="151">
        <v>770391.34</v>
      </c>
      <c r="L16" s="156">
        <f t="shared" si="2"/>
        <v>1.0599791288020728</v>
      </c>
      <c r="N16" s="7"/>
      <c r="O16" s="1"/>
    </row>
    <row r="17" spans="1:15" x14ac:dyDescent="0.2">
      <c r="A17" s="146"/>
      <c r="B17">
        <v>14</v>
      </c>
      <c r="C17" s="153" t="s">
        <v>26</v>
      </c>
      <c r="D17" s="153">
        <v>11295054.199999999</v>
      </c>
      <c r="E17" s="151">
        <v>11272388.01674</v>
      </c>
      <c r="F17" s="154">
        <f t="shared" si="3"/>
        <v>0.20067352363833174</v>
      </c>
      <c r="G17" s="151">
        <v>11180163.630000001</v>
      </c>
      <c r="H17" s="155">
        <f t="shared" si="0"/>
        <v>1.0171759069557935</v>
      </c>
      <c r="I17" s="151">
        <v>11198109.66</v>
      </c>
      <c r="J17" s="155">
        <f t="shared" si="1"/>
        <v>0.85829194161812095</v>
      </c>
      <c r="K17" s="151">
        <v>11164579.90961</v>
      </c>
      <c r="L17" s="156">
        <f t="shared" si="2"/>
        <v>1.1551453236054392</v>
      </c>
      <c r="N17" s="7"/>
      <c r="O17" s="1"/>
    </row>
    <row r="18" spans="1:15" ht="17" thickBot="1" x14ac:dyDescent="0.25">
      <c r="A18" s="146"/>
      <c r="B18">
        <v>15</v>
      </c>
      <c r="C18" s="152" t="s">
        <v>27</v>
      </c>
      <c r="D18" s="153">
        <v>11307104.800000001</v>
      </c>
      <c r="E18" s="151">
        <v>11184523.58</v>
      </c>
      <c r="F18" s="154">
        <f t="shared" si="3"/>
        <v>1.0841079318553823</v>
      </c>
      <c r="G18" s="151">
        <v>11177591.611339999</v>
      </c>
      <c r="H18" s="155">
        <f t="shared" si="0"/>
        <v>1.145414241318444</v>
      </c>
      <c r="I18" s="151">
        <v>11200504.24</v>
      </c>
      <c r="J18" s="155">
        <f t="shared" si="1"/>
        <v>0.9427750240715953</v>
      </c>
      <c r="K18" s="151">
        <v>11187464.619999999</v>
      </c>
      <c r="L18" s="156">
        <f t="shared" si="2"/>
        <v>1.0580973831603786</v>
      </c>
      <c r="N18" s="7"/>
      <c r="O18" s="1"/>
    </row>
    <row r="19" spans="1:15" x14ac:dyDescent="0.2">
      <c r="A19" s="146"/>
      <c r="B19">
        <v>16</v>
      </c>
      <c r="C19" s="159" t="s">
        <v>29</v>
      </c>
      <c r="D19" s="153">
        <v>24899703</v>
      </c>
      <c r="E19" s="151">
        <v>24663338</v>
      </c>
      <c r="F19" s="154">
        <f t="shared" si="3"/>
        <v>0.94926835071084981</v>
      </c>
      <c r="G19" s="151">
        <v>24663338</v>
      </c>
      <c r="H19" s="155">
        <f t="shared" si="0"/>
        <v>0.94926835071084981</v>
      </c>
      <c r="I19" s="151">
        <v>24686668</v>
      </c>
      <c r="J19" s="155">
        <f t="shared" si="1"/>
        <v>0.85557245401682092</v>
      </c>
      <c r="K19" s="151">
        <v>24660391.399999999</v>
      </c>
      <c r="L19" s="156">
        <f t="shared" si="2"/>
        <v>0.96110222680166701</v>
      </c>
      <c r="N19" s="7"/>
      <c r="O19" s="1"/>
    </row>
    <row r="20" spans="1:15" x14ac:dyDescent="0.2">
      <c r="A20" s="146"/>
      <c r="B20">
        <v>17</v>
      </c>
      <c r="C20" s="160" t="s">
        <v>30</v>
      </c>
      <c r="D20" s="153">
        <v>43476251</v>
      </c>
      <c r="E20" s="151">
        <v>43119198</v>
      </c>
      <c r="F20" s="154">
        <f t="shared" si="3"/>
        <v>0.82125986437975063</v>
      </c>
      <c r="G20" s="151">
        <v>43101494</v>
      </c>
      <c r="H20" s="155">
        <f t="shared" si="0"/>
        <v>0.86198094679322734</v>
      </c>
      <c r="I20" s="151">
        <v>43138346</v>
      </c>
      <c r="J20" s="155">
        <f t="shared" si="1"/>
        <v>0.77721742843006403</v>
      </c>
      <c r="K20" s="151">
        <v>43122325.333329998</v>
      </c>
      <c r="L20" s="156">
        <f t="shared" si="2"/>
        <v>0.81406666520073689</v>
      </c>
      <c r="N20" s="7"/>
      <c r="O20" s="1"/>
    </row>
    <row r="21" spans="1:15" x14ac:dyDescent="0.2">
      <c r="A21" s="146"/>
      <c r="B21">
        <v>18</v>
      </c>
      <c r="C21" s="160" t="s">
        <v>31</v>
      </c>
      <c r="D21" s="153">
        <v>66992877</v>
      </c>
      <c r="E21" s="151">
        <v>66596001</v>
      </c>
      <c r="F21" s="154">
        <f t="shared" si="3"/>
        <v>0.5924152205017259</v>
      </c>
      <c r="G21" s="151">
        <v>66586458</v>
      </c>
      <c r="H21" s="155">
        <f t="shared" si="0"/>
        <v>0.60666001849719042</v>
      </c>
      <c r="I21" s="151">
        <v>66619755</v>
      </c>
      <c r="J21" s="155">
        <f t="shared" si="1"/>
        <v>0.55695771954979634</v>
      </c>
      <c r="K21" s="151">
        <v>66602631</v>
      </c>
      <c r="L21" s="156">
        <f t="shared" si="2"/>
        <v>0.58251864597485492</v>
      </c>
      <c r="N21" s="7"/>
      <c r="O21" s="1"/>
    </row>
    <row r="22" spans="1:15" ht="17" thickBot="1" x14ac:dyDescent="0.25">
      <c r="A22" s="146"/>
      <c r="B22">
        <v>19</v>
      </c>
      <c r="C22" s="79" t="s">
        <v>32</v>
      </c>
      <c r="D22" s="92">
        <v>95643586</v>
      </c>
      <c r="E22" s="90">
        <v>95003080</v>
      </c>
      <c r="F22" s="97">
        <f t="shared" si="3"/>
        <v>0.66968003479083271</v>
      </c>
      <c r="G22" s="90">
        <v>94996024</v>
      </c>
      <c r="H22" s="98">
        <f t="shared" si="0"/>
        <v>0.67705742442572159</v>
      </c>
      <c r="I22" s="89">
        <v>95055989</v>
      </c>
      <c r="J22" s="98">
        <f t="shared" si="1"/>
        <v>0.61436111356176037</v>
      </c>
      <c r="K22" s="89">
        <v>95028470.799999997</v>
      </c>
      <c r="L22" s="99">
        <f t="shared" si="2"/>
        <v>0.64313272402814659</v>
      </c>
      <c r="N22" s="7"/>
    </row>
    <row r="23" spans="1:15" x14ac:dyDescent="0.2">
      <c r="C23" s="85"/>
      <c r="F23" s="85"/>
      <c r="M23" s="7"/>
    </row>
    <row r="24" spans="1:15" x14ac:dyDescent="0.2">
      <c r="D24" s="4"/>
      <c r="F24" s="4"/>
    </row>
    <row r="25" spans="1:15" x14ac:dyDescent="0.2">
      <c r="F25" s="4"/>
    </row>
    <row r="26" spans="1:15" x14ac:dyDescent="0.2">
      <c r="B26" s="8"/>
      <c r="C26" s="7"/>
      <c r="D26" s="7"/>
    </row>
    <row r="27" spans="1:15" x14ac:dyDescent="0.2">
      <c r="B27" s="7"/>
      <c r="C27" s="52"/>
      <c r="D27" s="52"/>
    </row>
    <row r="28" spans="1:15" x14ac:dyDescent="0.2">
      <c r="B28" s="7"/>
      <c r="C28" s="51"/>
      <c r="D28" s="51"/>
      <c r="E28" s="4"/>
      <c r="G28" s="4"/>
    </row>
    <row r="29" spans="1:15" x14ac:dyDescent="0.2">
      <c r="B29" s="7"/>
      <c r="C29" s="51"/>
      <c r="D29" s="51"/>
      <c r="E29" s="4"/>
      <c r="G29" s="4"/>
    </row>
    <row r="30" spans="1:15" x14ac:dyDescent="0.2">
      <c r="B30" s="7"/>
      <c r="C30" s="51"/>
      <c r="D30" s="51"/>
      <c r="E30" s="4"/>
      <c r="G30" s="4"/>
    </row>
    <row r="31" spans="1:15" x14ac:dyDescent="0.2">
      <c r="B31" s="7"/>
      <c r="C31" s="51"/>
      <c r="D31" s="51"/>
      <c r="E31" s="4"/>
      <c r="G31" s="4"/>
    </row>
    <row r="32" spans="1:15" x14ac:dyDescent="0.2">
      <c r="B32" s="7"/>
      <c r="C32" s="51"/>
      <c r="D32" s="51"/>
      <c r="E32" s="4"/>
      <c r="G32" s="4"/>
    </row>
    <row r="33" spans="2:11" x14ac:dyDescent="0.2">
      <c r="B33" s="7"/>
      <c r="C33" s="51"/>
      <c r="D33" s="51"/>
      <c r="E33" s="4"/>
      <c r="G33" s="4"/>
    </row>
    <row r="34" spans="2:11" ht="18" customHeight="1" x14ac:dyDescent="0.2">
      <c r="B34" s="7"/>
      <c r="C34" s="51"/>
      <c r="D34" s="51"/>
      <c r="E34" s="4"/>
      <c r="G34" s="4"/>
    </row>
    <row r="35" spans="2:11" x14ac:dyDescent="0.2">
      <c r="B35" s="7"/>
      <c r="C35" s="51"/>
      <c r="D35" s="51"/>
      <c r="E35" s="4"/>
      <c r="G35" s="4"/>
    </row>
    <row r="36" spans="2:11" x14ac:dyDescent="0.2">
      <c r="B36" s="7"/>
      <c r="C36" s="51"/>
      <c r="D36" s="51"/>
      <c r="E36" s="4"/>
      <c r="G36" s="4"/>
    </row>
    <row r="37" spans="2:11" x14ac:dyDescent="0.2">
      <c r="B37" s="7"/>
      <c r="C37" s="51"/>
      <c r="D37" s="51"/>
      <c r="E37" s="4"/>
      <c r="G37" s="4"/>
    </row>
    <row r="38" spans="2:11" x14ac:dyDescent="0.2">
      <c r="B38" s="7"/>
      <c r="C38" s="51"/>
      <c r="D38" s="51"/>
      <c r="E38" s="4"/>
      <c r="G38" s="4"/>
    </row>
    <row r="39" spans="2:11" x14ac:dyDescent="0.2">
      <c r="B39" s="7"/>
      <c r="C39" s="51"/>
      <c r="D39" s="51"/>
      <c r="E39" s="4"/>
    </row>
    <row r="40" spans="2:11" x14ac:dyDescent="0.2">
      <c r="B40" s="7"/>
      <c r="C40" s="51"/>
      <c r="D40" s="51"/>
      <c r="E40" s="4"/>
      <c r="G40" s="4"/>
    </row>
    <row r="41" spans="2:11" x14ac:dyDescent="0.2">
      <c r="B41" s="7"/>
      <c r="C41" s="51"/>
      <c r="D41" s="51"/>
      <c r="E41" s="82"/>
      <c r="G41" s="4"/>
    </row>
    <row r="42" spans="2:11" x14ac:dyDescent="0.2">
      <c r="B42" s="7"/>
      <c r="C42" s="51"/>
      <c r="D42" s="51"/>
      <c r="E42" s="4"/>
      <c r="G42" s="4"/>
    </row>
    <row r="43" spans="2:11" x14ac:dyDescent="0.2">
      <c r="B43" s="7"/>
      <c r="C43" s="51"/>
      <c r="D43" s="51"/>
      <c r="E43" s="4"/>
      <c r="G43" s="4"/>
      <c r="I43" s="4"/>
      <c r="K43" s="4"/>
    </row>
    <row r="44" spans="2:11" x14ac:dyDescent="0.2">
      <c r="B44" s="7"/>
      <c r="C44" s="51"/>
      <c r="D44" s="51"/>
      <c r="E44" s="4"/>
      <c r="G44" s="4"/>
    </row>
    <row r="45" spans="2:11" x14ac:dyDescent="0.2">
      <c r="B45" s="7"/>
      <c r="C45" s="51"/>
      <c r="D45" s="51"/>
      <c r="E45" s="4"/>
      <c r="G45" s="4"/>
    </row>
    <row r="46" spans="2:11" x14ac:dyDescent="0.2">
      <c r="B46" s="7"/>
      <c r="C46" s="51"/>
      <c r="D46" s="51"/>
    </row>
    <row r="47" spans="2:11" x14ac:dyDescent="0.2">
      <c r="B47" s="7"/>
      <c r="C47" s="7"/>
      <c r="D47" s="7"/>
    </row>
    <row r="48" spans="2:11" x14ac:dyDescent="0.2">
      <c r="B48" s="7"/>
      <c r="C48" s="7"/>
      <c r="D48" s="7"/>
    </row>
    <row r="49" spans="2:4" x14ac:dyDescent="0.2">
      <c r="B49" s="7"/>
      <c r="C49" s="7"/>
      <c r="D49" s="7"/>
    </row>
    <row r="50" spans="2:4" x14ac:dyDescent="0.2">
      <c r="B50" s="7"/>
      <c r="C50" s="7"/>
      <c r="D50" s="7"/>
    </row>
    <row r="51" spans="2:4" x14ac:dyDescent="0.2">
      <c r="B51" s="7"/>
      <c r="C51" s="7"/>
      <c r="D51" s="7"/>
    </row>
    <row r="52" spans="2:4" x14ac:dyDescent="0.2">
      <c r="B52" s="7"/>
      <c r="C52" s="7"/>
      <c r="D52" s="7"/>
    </row>
  </sheetData>
  <mergeCells count="3">
    <mergeCell ref="A4:A22"/>
    <mergeCell ref="C2:C3"/>
    <mergeCell ref="D2:D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PM</vt:lpstr>
      <vt:lpstr>PC</vt:lpstr>
      <vt:lpstr>PM_PC</vt:lpstr>
      <vt:lpstr>TAMAÑO POBLACION </vt:lpstr>
      <vt:lpstr>GENERACIONES</vt:lpstr>
      <vt:lpstr>RESULTADOS AG</vt:lpstr>
      <vt:lpstr>COMPRACION TIEMPO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2025-11-30T12:53:58Z</dcterms:created>
  <dcterms:modified xsi:type="dcterms:W3CDTF">2026-01-13T11:53:12Z</dcterms:modified>
</cp:coreProperties>
</file>