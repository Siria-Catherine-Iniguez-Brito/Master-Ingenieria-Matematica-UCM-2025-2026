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i/Downloads/"/>
    </mc:Choice>
  </mc:AlternateContent>
  <xr:revisionPtr revIDLastSave="0" documentId="13_ncr:1_{AD7858F8-5958-3248-A7E8-5755BA44F500}" xr6:coauthVersionLast="36" xr6:coauthVersionMax="36" xr10:uidLastSave="{00000000-0000-0000-0000-000000000000}"/>
  <bookViews>
    <workbookView xWindow="2760" yWindow="500" windowWidth="27640" windowHeight="15640" activeTab="2" xr2:uid="{9EBEFDB0-72B7-0242-9609-2ADF10D08D38}"/>
  </bookViews>
  <sheets>
    <sheet name="NIVELES DE PERTURBACION" sheetId="1" r:id="rId1"/>
    <sheet name="RESULTADOS TEST VNS" sheetId="2" r:id="rId2"/>
    <sheet name="COMPARACIONES TIEMPO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" i="3" l="1"/>
  <c r="I22" i="3"/>
  <c r="G22" i="3"/>
  <c r="E22" i="3"/>
  <c r="K21" i="3"/>
  <c r="I21" i="3"/>
  <c r="G21" i="3"/>
  <c r="E21" i="3"/>
  <c r="K20" i="3"/>
  <c r="I20" i="3"/>
  <c r="G20" i="3"/>
  <c r="E20" i="3"/>
  <c r="K19" i="3"/>
  <c r="I19" i="3"/>
  <c r="G19" i="3"/>
  <c r="E19" i="3"/>
  <c r="K18" i="3"/>
  <c r="I18" i="3"/>
  <c r="G18" i="3"/>
  <c r="E18" i="3"/>
  <c r="K17" i="3"/>
  <c r="I17" i="3"/>
  <c r="G17" i="3"/>
  <c r="E17" i="3"/>
  <c r="K16" i="3"/>
  <c r="I16" i="3"/>
  <c r="G16" i="3"/>
  <c r="E16" i="3"/>
  <c r="K15" i="3"/>
  <c r="I15" i="3"/>
  <c r="G15" i="3"/>
  <c r="E15" i="3"/>
  <c r="K14" i="3"/>
  <c r="I14" i="3"/>
  <c r="G14" i="3"/>
  <c r="E14" i="3"/>
  <c r="K13" i="3"/>
  <c r="I13" i="3"/>
  <c r="G13" i="3"/>
  <c r="E13" i="3"/>
  <c r="K12" i="3"/>
  <c r="I12" i="3"/>
  <c r="G12" i="3"/>
  <c r="E12" i="3"/>
  <c r="K11" i="3"/>
  <c r="I11" i="3"/>
  <c r="G11" i="3"/>
  <c r="E11" i="3"/>
  <c r="K10" i="3"/>
  <c r="I10" i="3"/>
  <c r="G10" i="3"/>
  <c r="E10" i="3"/>
  <c r="K9" i="3"/>
  <c r="I9" i="3"/>
  <c r="G9" i="3"/>
  <c r="E9" i="3"/>
  <c r="K8" i="3"/>
  <c r="I8" i="3"/>
  <c r="G8" i="3"/>
  <c r="E8" i="3"/>
  <c r="K7" i="3"/>
  <c r="I7" i="3"/>
  <c r="G7" i="3"/>
  <c r="E7" i="3"/>
  <c r="K6" i="3"/>
  <c r="I6" i="3"/>
  <c r="G6" i="3"/>
  <c r="E6" i="3"/>
  <c r="K5" i="3"/>
  <c r="I5" i="3"/>
  <c r="G5" i="3"/>
  <c r="E5" i="3"/>
  <c r="K4" i="3"/>
  <c r="I4" i="3"/>
  <c r="G4" i="3"/>
  <c r="E4" i="3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I42" i="1"/>
  <c r="H42" i="1"/>
  <c r="I41" i="1"/>
  <c r="H41" i="1"/>
  <c r="I40" i="1"/>
  <c r="H40" i="1"/>
  <c r="I39" i="1"/>
  <c r="H39" i="1"/>
  <c r="I38" i="1"/>
  <c r="I37" i="1"/>
  <c r="H37" i="1"/>
  <c r="I36" i="1"/>
  <c r="H36" i="1"/>
  <c r="I35" i="1"/>
  <c r="H35" i="1"/>
  <c r="I34" i="1"/>
  <c r="H34" i="1"/>
  <c r="I33" i="1"/>
  <c r="I32" i="1"/>
  <c r="H32" i="1"/>
  <c r="I31" i="1"/>
  <c r="H31" i="1"/>
  <c r="I30" i="1"/>
  <c r="H30" i="1"/>
  <c r="I29" i="1"/>
  <c r="H29" i="1"/>
  <c r="I28" i="1"/>
  <c r="I27" i="1"/>
  <c r="H27" i="1"/>
  <c r="I26" i="1"/>
  <c r="H26" i="1"/>
  <c r="I25" i="1"/>
  <c r="H25" i="1"/>
  <c r="I24" i="1"/>
  <c r="H24" i="1"/>
  <c r="I23" i="1"/>
  <c r="I22" i="1"/>
  <c r="H22" i="1"/>
  <c r="I21" i="1"/>
  <c r="H21" i="1"/>
  <c r="I20" i="1"/>
  <c r="H20" i="1"/>
  <c r="I19" i="1"/>
  <c r="H19" i="1"/>
  <c r="I18" i="1"/>
  <c r="I17" i="1"/>
  <c r="H17" i="1"/>
  <c r="I16" i="1"/>
  <c r="H16" i="1"/>
  <c r="I15" i="1"/>
  <c r="H15" i="1"/>
  <c r="I14" i="1"/>
  <c r="H14" i="1"/>
  <c r="I12" i="1"/>
  <c r="H12" i="1"/>
  <c r="I11" i="1"/>
  <c r="H11" i="1"/>
  <c r="I10" i="1"/>
  <c r="H10" i="1"/>
  <c r="I9" i="1"/>
  <c r="H9" i="1"/>
  <c r="I8" i="1"/>
  <c r="I7" i="1"/>
  <c r="H7" i="1"/>
  <c r="I6" i="1"/>
  <c r="H6" i="1"/>
  <c r="I5" i="1"/>
  <c r="H5" i="1"/>
  <c r="I4" i="1"/>
  <c r="H4" i="1"/>
</calcChain>
</file>

<file path=xl/sharedStrings.xml><?xml version="1.0" encoding="utf-8"?>
<sst xmlns="http://schemas.openxmlformats.org/spreadsheetml/2006/main" count="214" uniqueCount="62">
  <si>
    <t>Best Value</t>
  </si>
  <si>
    <t>Instancia</t>
  </si>
  <si>
    <t>Opción</t>
  </si>
  <si>
    <t>k_max</t>
  </si>
  <si>
    <t xml:space="preserve">Niveles de </t>
  </si>
  <si>
    <t xml:space="preserve">Media </t>
  </si>
  <si>
    <t>Ranking</t>
  </si>
  <si>
    <t>Error</t>
  </si>
  <si>
    <t>Perturbación</t>
  </si>
  <si>
    <t>Diversidad</t>
  </si>
  <si>
    <t>(%)</t>
  </si>
  <si>
    <t>GKD-c_1_n500_m50.txt</t>
  </si>
  <si>
    <t>P1</t>
  </si>
  <si>
    <t>[0.10, 0.25]</t>
  </si>
  <si>
    <t>P2</t>
  </si>
  <si>
    <t>[0.15, 0.35]</t>
  </si>
  <si>
    <t>P3</t>
  </si>
  <si>
    <t>[0.08, 0.20, 0.40]</t>
  </si>
  <si>
    <t>P4</t>
  </si>
  <si>
    <t>[0.12, 0.25, 0.5]</t>
  </si>
  <si>
    <t>---</t>
  </si>
  <si>
    <t>GKD-c_2_n500_m50.txt</t>
  </si>
  <si>
    <t>SOM-b_1_n100_m10.txt</t>
  </si>
  <si>
    <t>SOM-b_2_n100_m20.txt</t>
  </si>
  <si>
    <t>MDG-a_1_n500_m50.txt</t>
  </si>
  <si>
    <t>MDG-a_2_n500_m50.txt</t>
  </si>
  <si>
    <t>MDG-b_1_n500_m50.txt</t>
  </si>
  <si>
    <t>MDG-b_2_n500_m50.txt</t>
  </si>
  <si>
    <t xml:space="preserve">Mejor </t>
  </si>
  <si>
    <t>Error(%)</t>
  </si>
  <si>
    <t>Media</t>
  </si>
  <si>
    <t>GKD-c_19_n500_m50.txt</t>
  </si>
  <si>
    <t>GKD-c_20_n500_m50.txt</t>
  </si>
  <si>
    <t>SOM-b_4_n100_m40.txt</t>
  </si>
  <si>
    <t>SOM-b_8_n200_m80.txt</t>
  </si>
  <si>
    <t>SOM-b_12_n300_m120.txt</t>
  </si>
  <si>
    <t>SOM-b_16_n400_m160.txt</t>
  </si>
  <si>
    <t>SOM-b_20_n500_m200.txt</t>
  </si>
  <si>
    <t>MDG-a_19_n500_m50.txt</t>
  </si>
  <si>
    <t>MDG-a_20_n500_m50.txt</t>
  </si>
  <si>
    <t>MDG-a_39_n2000_m200.txt</t>
  </si>
  <si>
    <t>MDG-a_40_n2000_m200.txt</t>
  </si>
  <si>
    <t>MDG-b_19_n500_m50.txt</t>
  </si>
  <si>
    <t>MDG-b_20_n500_m50.txt</t>
  </si>
  <si>
    <t>MDG-b_39_n2000_m200.txt</t>
  </si>
  <si>
    <t>MDG-b_40_n2000_m200.txt</t>
  </si>
  <si>
    <t>MDG-c_5_n3000_m300.txt</t>
  </si>
  <si>
    <t>MDG-c_10_n3000_m400.txt</t>
  </si>
  <si>
    <t>MDG-c_15_n3000_m500.txt</t>
  </si>
  <si>
    <t>MDG-c_20_n3000_m600.txt</t>
  </si>
  <si>
    <t xml:space="preserve">MEJOR </t>
  </si>
  <si>
    <t>ERROR</t>
  </si>
  <si>
    <t xml:space="preserve">MEDIA </t>
  </si>
  <si>
    <t>Nombre del Archivo</t>
  </si>
  <si>
    <t xml:space="preserve">30 SEG / AG </t>
  </si>
  <si>
    <t>MEJOR 30 S</t>
  </si>
  <si>
    <t>30 SEG/AG</t>
  </si>
  <si>
    <t>MEDIA 30S</t>
  </si>
  <si>
    <t xml:space="preserve">60 SEG / AG </t>
  </si>
  <si>
    <t xml:space="preserve">MEJOR 60 SEG </t>
  </si>
  <si>
    <t>60 SEG/AG</t>
  </si>
  <si>
    <t>MEDIA 60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</si>
</sst>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"/>
    <numFmt numFmtId="165" formatCode="0.00000000%"/>
    <numFmt numFmtId="166" formatCode="_-* #,##0.00000_-;\-* #,##0.00000_-;_-* &quot;-&quot;??_-;_-@_-"/>
  </numFmts>
  <fonts count="1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1F1F1F"/>
      <name val="Arial"/>
      <family val="2"/>
    </font>
    <font>
      <sz val="12"/>
      <color rgb="FF222222"/>
      <name val="Arial"/>
      <family val="2"/>
    </font>
    <font>
      <sz val="10"/>
      <color theme="3" tint="0.79998168889431442"/>
      <name val="Arial"/>
      <family val="2"/>
    </font>
    <font>
      <sz val="10"/>
      <name val="Arial"/>
      <family val="2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/>
    </xf>
    <xf numFmtId="165" fontId="2" fillId="2" borderId="4" xfId="2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/>
    </xf>
    <xf numFmtId="165" fontId="2" fillId="2" borderId="8" xfId="2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166" fontId="4" fillId="0" borderId="10" xfId="1" applyNumberFormat="1" applyFont="1" applyFill="1" applyBorder="1" applyAlignment="1">
      <alignment horizontal="center"/>
    </xf>
    <xf numFmtId="0" fontId="5" fillId="0" borderId="3" xfId="0" applyFont="1" applyBorder="1"/>
    <xf numFmtId="165" fontId="4" fillId="0" borderId="4" xfId="2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6" fontId="4" fillId="0" borderId="12" xfId="1" applyNumberFormat="1" applyFont="1" applyFill="1" applyBorder="1" applyAlignment="1">
      <alignment horizontal="center"/>
    </xf>
    <xf numFmtId="0" fontId="5" fillId="0" borderId="0" xfId="0" applyFont="1" applyBorder="1"/>
    <xf numFmtId="165" fontId="4" fillId="0" borderId="8" xfId="2" applyNumberFormat="1" applyFont="1" applyFill="1" applyBorder="1" applyAlignment="1">
      <alignment horizontal="center"/>
    </xf>
    <xf numFmtId="0" fontId="6" fillId="3" borderId="13" xfId="0" quotePrefix="1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166" fontId="6" fillId="3" borderId="15" xfId="1" applyNumberFormat="1" applyFont="1" applyFill="1" applyBorder="1" applyAlignment="1">
      <alignment horizontal="center"/>
    </xf>
    <xf numFmtId="164" fontId="6" fillId="3" borderId="14" xfId="0" applyNumberFormat="1" applyFont="1" applyFill="1" applyBorder="1" applyAlignment="1">
      <alignment horizontal="center"/>
    </xf>
    <xf numFmtId="165" fontId="6" fillId="3" borderId="16" xfId="2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/>
    </xf>
    <xf numFmtId="165" fontId="4" fillId="0" borderId="17" xfId="2" applyNumberFormat="1" applyFont="1" applyFill="1" applyBorder="1" applyAlignment="1">
      <alignment horizontal="center"/>
    </xf>
    <xf numFmtId="0" fontId="6" fillId="3" borderId="18" xfId="0" quotePrefix="1" applyFont="1" applyFill="1" applyBorder="1" applyAlignment="1">
      <alignment horizontal="center"/>
    </xf>
    <xf numFmtId="0" fontId="6" fillId="3" borderId="15" xfId="0" quotePrefix="1" applyFont="1" applyFill="1" applyBorder="1" applyAlignment="1">
      <alignment horizontal="center"/>
    </xf>
    <xf numFmtId="166" fontId="6" fillId="3" borderId="15" xfId="1" quotePrefix="1" applyNumberFormat="1" applyFont="1" applyFill="1" applyBorder="1" applyAlignment="1">
      <alignment horizontal="center"/>
    </xf>
    <xf numFmtId="164" fontId="6" fillId="3" borderId="15" xfId="0" quotePrefix="1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/>
    </xf>
    <xf numFmtId="164" fontId="6" fillId="3" borderId="15" xfId="0" applyNumberFormat="1" applyFont="1" applyFill="1" applyBorder="1" applyAlignment="1">
      <alignment horizontal="center"/>
    </xf>
    <xf numFmtId="165" fontId="6" fillId="3" borderId="19" xfId="2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20" xfId="0" applyFont="1" applyFill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/>
    </xf>
    <xf numFmtId="0" fontId="4" fillId="0" borderId="22" xfId="0" applyFont="1" applyFill="1" applyBorder="1" applyAlignment="1">
      <alignment horizontal="center"/>
    </xf>
    <xf numFmtId="166" fontId="4" fillId="0" borderId="23" xfId="1" applyNumberFormat="1" applyFont="1" applyFill="1" applyBorder="1" applyAlignment="1">
      <alignment horizontal="center"/>
    </xf>
    <xf numFmtId="0" fontId="5" fillId="0" borderId="22" xfId="0" applyFont="1" applyBorder="1"/>
    <xf numFmtId="0" fontId="7" fillId="0" borderId="23" xfId="0" applyFont="1" applyFill="1" applyBorder="1" applyAlignment="1">
      <alignment horizontal="center"/>
    </xf>
    <xf numFmtId="165" fontId="4" fillId="0" borderId="24" xfId="2" applyNumberFormat="1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164" fontId="6" fillId="3" borderId="18" xfId="0" applyNumberFormat="1" applyFont="1" applyFill="1" applyBorder="1" applyAlignment="1">
      <alignment horizontal="center"/>
    </xf>
    <xf numFmtId="0" fontId="9" fillId="0" borderId="2" xfId="0" applyFont="1" applyFill="1" applyBorder="1"/>
    <xf numFmtId="0" fontId="9" fillId="0" borderId="7" xfId="0" applyFont="1" applyFill="1" applyBorder="1"/>
    <xf numFmtId="0" fontId="9" fillId="0" borderId="6" xfId="0" applyFont="1" applyFill="1" applyBorder="1"/>
    <xf numFmtId="0" fontId="9" fillId="0" borderId="2" xfId="0" applyFont="1" applyBorder="1"/>
    <xf numFmtId="0" fontId="9" fillId="0" borderId="7" xfId="0" applyFont="1" applyBorder="1"/>
    <xf numFmtId="0" fontId="9" fillId="0" borderId="6" xfId="0" applyFont="1" applyBorder="1"/>
    <xf numFmtId="0" fontId="5" fillId="0" borderId="12" xfId="0" applyFont="1" applyBorder="1"/>
    <xf numFmtId="2" fontId="5" fillId="0" borderId="12" xfId="0" applyNumberFormat="1" applyFont="1" applyBorder="1"/>
    <xf numFmtId="0" fontId="0" fillId="0" borderId="12" xfId="0" applyBorder="1"/>
    <xf numFmtId="0" fontId="9" fillId="0" borderId="1" xfId="0" applyFont="1" applyBorder="1"/>
    <xf numFmtId="0" fontId="5" fillId="0" borderId="10" xfId="0" applyFont="1" applyBorder="1"/>
    <xf numFmtId="0" fontId="0" fillId="0" borderId="3" xfId="0" applyBorder="1"/>
    <xf numFmtId="0" fontId="0" fillId="0" borderId="10" xfId="0" applyBorder="1"/>
    <xf numFmtId="0" fontId="0" fillId="0" borderId="4" xfId="0" applyBorder="1"/>
    <xf numFmtId="0" fontId="9" fillId="0" borderId="5" xfId="0" applyFont="1" applyBorder="1"/>
    <xf numFmtId="0" fontId="0" fillId="0" borderId="0" xfId="0" applyBorder="1"/>
    <xf numFmtId="0" fontId="0" fillId="0" borderId="8" xfId="0" applyBorder="1"/>
    <xf numFmtId="0" fontId="9" fillId="0" borderId="27" xfId="0" applyFont="1" applyBorder="1"/>
    <xf numFmtId="0" fontId="0" fillId="0" borderId="23" xfId="0" applyBorder="1"/>
    <xf numFmtId="0" fontId="0" fillId="0" borderId="22" xfId="0" applyBorder="1"/>
    <xf numFmtId="0" fontId="0" fillId="0" borderId="26" xfId="0" applyBorder="1"/>
    <xf numFmtId="0" fontId="0" fillId="3" borderId="3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10" fillId="3" borderId="29" xfId="0" applyFont="1" applyFill="1" applyBorder="1" applyAlignment="1">
      <alignment horizontal="center"/>
    </xf>
    <xf numFmtId="0" fontId="8" fillId="3" borderId="28" xfId="0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904E-664F-4745-A68C-7B93C069F344}">
  <dimension ref="B1:I42"/>
  <sheetViews>
    <sheetView showGridLines="0" zoomScale="89" workbookViewId="0">
      <selection activeCell="L36" sqref="L36"/>
    </sheetView>
  </sheetViews>
  <sheetFormatPr baseColWidth="10" defaultRowHeight="16"/>
  <cols>
    <col min="3" max="3" width="20.33203125" bestFit="1" customWidth="1"/>
    <col min="9" max="9" width="12.1640625" bestFit="1" customWidth="1"/>
  </cols>
  <sheetData>
    <row r="1" spans="2:9" ht="17" thickBot="1"/>
    <row r="2" spans="2:9">
      <c r="B2" s="75" t="s">
        <v>0</v>
      </c>
      <c r="C2" s="77" t="s">
        <v>1</v>
      </c>
      <c r="D2" s="79" t="s">
        <v>2</v>
      </c>
      <c r="E2" s="77" t="s">
        <v>3</v>
      </c>
      <c r="F2" s="1" t="s">
        <v>4</v>
      </c>
      <c r="G2" s="2" t="s">
        <v>5</v>
      </c>
      <c r="H2" s="77" t="s">
        <v>6</v>
      </c>
      <c r="I2" s="3" t="s">
        <v>7</v>
      </c>
    </row>
    <row r="3" spans="2:9" ht="17" thickBot="1">
      <c r="B3" s="76"/>
      <c r="C3" s="78"/>
      <c r="D3" s="80"/>
      <c r="E3" s="78"/>
      <c r="F3" s="4" t="s">
        <v>8</v>
      </c>
      <c r="G3" s="5" t="s">
        <v>9</v>
      </c>
      <c r="H3" s="81"/>
      <c r="I3" s="6" t="s">
        <v>10</v>
      </c>
    </row>
    <row r="4" spans="2:9">
      <c r="B4" s="7">
        <v>19485.1875</v>
      </c>
      <c r="C4" s="8" t="s">
        <v>11</v>
      </c>
      <c r="D4" s="9" t="s">
        <v>12</v>
      </c>
      <c r="E4" s="10">
        <v>2</v>
      </c>
      <c r="F4" s="11" t="s">
        <v>13</v>
      </c>
      <c r="G4" s="12">
        <v>19485.186969999999</v>
      </c>
      <c r="H4" s="9">
        <f>_xlfn.RANK.EQ(G4,$G$4:$G$7,0)</f>
        <v>1</v>
      </c>
      <c r="I4" s="13">
        <f>(B4-G4) / B4</f>
        <v>2.720014889068884E-8</v>
      </c>
    </row>
    <row r="5" spans="2:9">
      <c r="B5" s="14">
        <v>19485.1875</v>
      </c>
      <c r="C5" s="15" t="s">
        <v>11</v>
      </c>
      <c r="D5" s="16" t="s">
        <v>14</v>
      </c>
      <c r="E5" s="17">
        <v>2</v>
      </c>
      <c r="F5" s="18" t="s">
        <v>15</v>
      </c>
      <c r="G5" s="19">
        <v>19485.186969999999</v>
      </c>
      <c r="H5" s="16">
        <f>_xlfn.RANK.EQ(G5,$G$4:$G$7,0)</f>
        <v>1</v>
      </c>
      <c r="I5" s="20">
        <f t="shared" ref="I5:I42" si="0">(B5-G5) / B5</f>
        <v>2.720014889068884E-8</v>
      </c>
    </row>
    <row r="6" spans="2:9">
      <c r="B6" s="14">
        <v>19485.1875</v>
      </c>
      <c r="C6" s="15" t="s">
        <v>11</v>
      </c>
      <c r="D6" s="16" t="s">
        <v>16</v>
      </c>
      <c r="E6" s="17">
        <v>3</v>
      </c>
      <c r="F6" s="18" t="s">
        <v>17</v>
      </c>
      <c r="G6" s="19">
        <v>19485.186969999999</v>
      </c>
      <c r="H6" s="16">
        <f>_xlfn.RANK.EQ(G6,$G$4:$G$7,0)</f>
        <v>1</v>
      </c>
      <c r="I6" s="20">
        <f t="shared" si="0"/>
        <v>2.720014889068884E-8</v>
      </c>
    </row>
    <row r="7" spans="2:9">
      <c r="B7" s="14">
        <v>19485.1875</v>
      </c>
      <c r="C7" s="15" t="s">
        <v>11</v>
      </c>
      <c r="D7" s="16" t="s">
        <v>18</v>
      </c>
      <c r="E7" s="17">
        <v>3</v>
      </c>
      <c r="F7" s="18" t="s">
        <v>19</v>
      </c>
      <c r="G7" s="19">
        <v>19485.186969999999</v>
      </c>
      <c r="H7" s="16">
        <f>_xlfn.RANK.EQ(G7,$G$4:$G$7,0)</f>
        <v>1</v>
      </c>
      <c r="I7" s="20">
        <f t="shared" si="0"/>
        <v>2.720014889068884E-8</v>
      </c>
    </row>
    <row r="8" spans="2:9">
      <c r="B8" s="21" t="s">
        <v>20</v>
      </c>
      <c r="C8" s="22" t="s">
        <v>20</v>
      </c>
      <c r="D8" s="23" t="s">
        <v>20</v>
      </c>
      <c r="E8" s="22" t="s">
        <v>20</v>
      </c>
      <c r="F8" s="24" t="s">
        <v>20</v>
      </c>
      <c r="G8" s="25" t="s">
        <v>20</v>
      </c>
      <c r="H8" s="23" t="s">
        <v>20</v>
      </c>
      <c r="I8" s="26" t="e">
        <f t="shared" si="0"/>
        <v>#VALUE!</v>
      </c>
    </row>
    <row r="9" spans="2:9">
      <c r="B9" s="14">
        <v>19701.537110000001</v>
      </c>
      <c r="C9" s="27" t="s">
        <v>21</v>
      </c>
      <c r="D9" s="16" t="s">
        <v>12</v>
      </c>
      <c r="E9" s="17">
        <v>2</v>
      </c>
      <c r="F9" s="18" t="s">
        <v>13</v>
      </c>
      <c r="G9" s="19">
        <v>19701.534769999998</v>
      </c>
      <c r="H9" s="28">
        <f>_xlfn.RANK.EQ(G9,$G$9:$G$12,1)</f>
        <v>1</v>
      </c>
      <c r="I9" s="29">
        <f t="shared" si="0"/>
        <v>1.1877245870042002E-7</v>
      </c>
    </row>
    <row r="10" spans="2:9">
      <c r="B10" s="14">
        <v>19701.537110000001</v>
      </c>
      <c r="C10" s="27" t="s">
        <v>21</v>
      </c>
      <c r="D10" s="16" t="s">
        <v>14</v>
      </c>
      <c r="E10" s="17">
        <v>2</v>
      </c>
      <c r="F10" s="18" t="s">
        <v>15</v>
      </c>
      <c r="G10" s="19">
        <v>19701.534769999998</v>
      </c>
      <c r="H10" s="28">
        <f>_xlfn.RANK.EQ(G10,$G$9:$G$12,1)</f>
        <v>1</v>
      </c>
      <c r="I10" s="29">
        <f t="shared" si="0"/>
        <v>1.1877245870042002E-7</v>
      </c>
    </row>
    <row r="11" spans="2:9">
      <c r="B11" s="14">
        <v>19701.537110000001</v>
      </c>
      <c r="C11" s="27" t="s">
        <v>21</v>
      </c>
      <c r="D11" s="16" t="s">
        <v>16</v>
      </c>
      <c r="E11" s="17">
        <v>3</v>
      </c>
      <c r="F11" s="18" t="s">
        <v>17</v>
      </c>
      <c r="G11" s="19">
        <v>19701.534769999998</v>
      </c>
      <c r="H11" s="28">
        <f>_xlfn.RANK.EQ(G11,$G$9:$G$12,1)</f>
        <v>1</v>
      </c>
      <c r="I11" s="29">
        <f t="shared" si="0"/>
        <v>1.1877245870042002E-7</v>
      </c>
    </row>
    <row r="12" spans="2:9">
      <c r="B12" s="14">
        <v>19701.537110000001</v>
      </c>
      <c r="C12" s="27" t="s">
        <v>21</v>
      </c>
      <c r="D12" s="16" t="s">
        <v>18</v>
      </c>
      <c r="E12" s="17">
        <v>3</v>
      </c>
      <c r="F12" s="18" t="s">
        <v>19</v>
      </c>
      <c r="G12" s="19">
        <v>19701.534769999998</v>
      </c>
      <c r="H12" s="28">
        <f>_xlfn.RANK.EQ(G12,$G$9:$G$12,1)</f>
        <v>1</v>
      </c>
      <c r="I12" s="29">
        <f t="shared" si="0"/>
        <v>1.1877245870042002E-7</v>
      </c>
    </row>
    <row r="13" spans="2:9">
      <c r="B13" s="21" t="s">
        <v>20</v>
      </c>
      <c r="C13" s="30" t="s">
        <v>20</v>
      </c>
      <c r="D13" s="31" t="s">
        <v>20</v>
      </c>
      <c r="E13" s="31" t="s">
        <v>20</v>
      </c>
      <c r="F13" s="32" t="s">
        <v>20</v>
      </c>
      <c r="G13" s="33" t="s">
        <v>20</v>
      </c>
      <c r="H13" s="31" t="s">
        <v>20</v>
      </c>
      <c r="I13" s="26"/>
    </row>
    <row r="14" spans="2:9">
      <c r="B14" s="14">
        <v>333</v>
      </c>
      <c r="C14" s="15" t="s">
        <v>22</v>
      </c>
      <c r="D14" s="16" t="s">
        <v>12</v>
      </c>
      <c r="E14" s="17">
        <v>2</v>
      </c>
      <c r="F14" s="18" t="s">
        <v>13</v>
      </c>
      <c r="G14" s="19">
        <v>323</v>
      </c>
      <c r="H14" s="16">
        <f>_xlfn.RANK.EQ(G14,$G$14:$G$17,0)</f>
        <v>4</v>
      </c>
      <c r="I14" s="20">
        <f t="shared" si="0"/>
        <v>3.003003003003003E-2</v>
      </c>
    </row>
    <row r="15" spans="2:9">
      <c r="B15" s="14">
        <v>333</v>
      </c>
      <c r="C15" s="15" t="s">
        <v>22</v>
      </c>
      <c r="D15" s="16" t="s">
        <v>14</v>
      </c>
      <c r="E15" s="17">
        <v>2</v>
      </c>
      <c r="F15" s="18" t="s">
        <v>15</v>
      </c>
      <c r="G15" s="19">
        <v>329.33330000000001</v>
      </c>
      <c r="H15" s="16">
        <f>_xlfn.RANK.EQ(G15,$G$14:$G$17,0)</f>
        <v>3</v>
      </c>
      <c r="I15" s="20">
        <f t="shared" si="0"/>
        <v>1.1011111111111086E-2</v>
      </c>
    </row>
    <row r="16" spans="2:9">
      <c r="B16" s="14">
        <v>333</v>
      </c>
      <c r="C16" s="15" t="s">
        <v>22</v>
      </c>
      <c r="D16" s="16" t="s">
        <v>16</v>
      </c>
      <c r="E16" s="17">
        <v>3</v>
      </c>
      <c r="F16" s="18" t="s">
        <v>17</v>
      </c>
      <c r="G16" s="19">
        <v>331.33330000000001</v>
      </c>
      <c r="H16" s="16">
        <f>_xlfn.RANK.EQ(G16,$G$14:$G$17,0)</f>
        <v>1</v>
      </c>
      <c r="I16" s="20">
        <f t="shared" si="0"/>
        <v>5.0051051051050802E-3</v>
      </c>
    </row>
    <row r="17" spans="2:9">
      <c r="B17" s="14">
        <v>333</v>
      </c>
      <c r="C17" s="15" t="s">
        <v>22</v>
      </c>
      <c r="D17" s="16" t="s">
        <v>18</v>
      </c>
      <c r="E17" s="17">
        <v>3</v>
      </c>
      <c r="F17" s="18" t="s">
        <v>19</v>
      </c>
      <c r="G17" s="19">
        <v>329.66667000000001</v>
      </c>
      <c r="H17" s="16">
        <f>_xlfn.RANK.EQ(G17,$G$14:$G$17,0)</f>
        <v>2</v>
      </c>
      <c r="I17" s="20">
        <f t="shared" si="0"/>
        <v>1.0009999999999969E-2</v>
      </c>
    </row>
    <row r="18" spans="2:9">
      <c r="B18" s="21" t="s">
        <v>20</v>
      </c>
      <c r="C18" s="22" t="s">
        <v>20</v>
      </c>
      <c r="D18" s="23" t="s">
        <v>20</v>
      </c>
      <c r="E18" s="22" t="s">
        <v>20</v>
      </c>
      <c r="F18" s="24" t="s">
        <v>20</v>
      </c>
      <c r="G18" s="25" t="s">
        <v>20</v>
      </c>
      <c r="H18" s="23" t="s">
        <v>20</v>
      </c>
      <c r="I18" s="26" t="e">
        <f t="shared" si="0"/>
        <v>#VALUE!</v>
      </c>
    </row>
    <row r="19" spans="2:9">
      <c r="B19" s="14">
        <v>1195</v>
      </c>
      <c r="C19" s="34" t="s">
        <v>23</v>
      </c>
      <c r="D19" s="16" t="s">
        <v>12</v>
      </c>
      <c r="E19" s="17">
        <v>2</v>
      </c>
      <c r="F19" s="18" t="s">
        <v>13</v>
      </c>
      <c r="G19" s="19">
        <v>1195</v>
      </c>
      <c r="H19" s="16">
        <f>_xlfn.RANK.EQ(G19,$G$19:$G$22,0)</f>
        <v>1</v>
      </c>
      <c r="I19" s="20">
        <f t="shared" si="0"/>
        <v>0</v>
      </c>
    </row>
    <row r="20" spans="2:9">
      <c r="B20" s="14">
        <v>1195</v>
      </c>
      <c r="C20" s="34" t="s">
        <v>23</v>
      </c>
      <c r="D20" s="16" t="s">
        <v>14</v>
      </c>
      <c r="E20" s="17">
        <v>2</v>
      </c>
      <c r="F20" s="18" t="s">
        <v>15</v>
      </c>
      <c r="G20" s="19">
        <v>1188.33</v>
      </c>
      <c r="H20" s="16">
        <f>_xlfn.RANK.EQ(G20,$G$19:$G$22,0)</f>
        <v>4</v>
      </c>
      <c r="I20" s="20">
        <f t="shared" si="0"/>
        <v>5.581589958159057E-3</v>
      </c>
    </row>
    <row r="21" spans="2:9">
      <c r="B21" s="14">
        <v>1195</v>
      </c>
      <c r="C21" s="34" t="s">
        <v>23</v>
      </c>
      <c r="D21" s="16" t="s">
        <v>16</v>
      </c>
      <c r="E21" s="17">
        <v>3</v>
      </c>
      <c r="F21" s="18" t="s">
        <v>17</v>
      </c>
      <c r="G21" s="19">
        <v>1191.6666</v>
      </c>
      <c r="H21" s="16">
        <f>_xlfn.RANK.EQ(G21,$G$19:$G$22,0)</f>
        <v>3</v>
      </c>
      <c r="I21" s="20">
        <f t="shared" si="0"/>
        <v>2.7894560669455928E-3</v>
      </c>
    </row>
    <row r="22" spans="2:9">
      <c r="B22" s="14">
        <v>1195</v>
      </c>
      <c r="C22" s="34" t="s">
        <v>23</v>
      </c>
      <c r="D22" s="16" t="s">
        <v>18</v>
      </c>
      <c r="E22" s="17">
        <v>3</v>
      </c>
      <c r="F22" s="18" t="s">
        <v>19</v>
      </c>
      <c r="G22" s="19">
        <v>1195</v>
      </c>
      <c r="H22" s="16">
        <f>_xlfn.RANK.EQ(G22,$G$19:$G$22,0)</f>
        <v>1</v>
      </c>
      <c r="I22" s="20">
        <f t="shared" si="0"/>
        <v>0</v>
      </c>
    </row>
    <row r="23" spans="2:9">
      <c r="B23" s="35"/>
      <c r="C23" s="22" t="s">
        <v>20</v>
      </c>
      <c r="D23" s="23" t="s">
        <v>20</v>
      </c>
      <c r="E23" s="22" t="s">
        <v>20</v>
      </c>
      <c r="F23" s="24" t="s">
        <v>20</v>
      </c>
      <c r="G23" s="36" t="s">
        <v>20</v>
      </c>
      <c r="H23" s="23" t="s">
        <v>20</v>
      </c>
      <c r="I23" s="37" t="e">
        <f t="shared" si="0"/>
        <v>#VALUE!</v>
      </c>
    </row>
    <row r="24" spans="2:9">
      <c r="B24" s="14">
        <v>7833.8325199999999</v>
      </c>
      <c r="C24" s="38" t="s">
        <v>24</v>
      </c>
      <c r="D24" s="16" t="s">
        <v>12</v>
      </c>
      <c r="E24" s="17">
        <v>2</v>
      </c>
      <c r="F24" s="18" t="s">
        <v>13</v>
      </c>
      <c r="G24" s="19">
        <v>7734.3733300000004</v>
      </c>
      <c r="H24" s="16">
        <f>_xlfn.RANK.EQ(G24,$G$24:$G$27,0)</f>
        <v>2</v>
      </c>
      <c r="I24" s="29">
        <f t="shared" si="0"/>
        <v>1.2696108800651201E-2</v>
      </c>
    </row>
    <row r="25" spans="2:9">
      <c r="B25" s="14">
        <v>7833.8325199999999</v>
      </c>
      <c r="C25" s="38" t="s">
        <v>24</v>
      </c>
      <c r="D25" s="16" t="s">
        <v>14</v>
      </c>
      <c r="E25" s="17">
        <v>2</v>
      </c>
      <c r="F25" s="18" t="s">
        <v>15</v>
      </c>
      <c r="G25" s="19">
        <v>7710.57</v>
      </c>
      <c r="H25" s="16">
        <f>_xlfn.RANK.EQ(G25,$G$24:$G$27,0)</f>
        <v>3</v>
      </c>
      <c r="I25" s="29">
        <f t="shared" si="0"/>
        <v>1.5734638146182915E-2</v>
      </c>
    </row>
    <row r="26" spans="2:9">
      <c r="B26" s="14">
        <v>7833.8325199999999</v>
      </c>
      <c r="C26" s="38" t="s">
        <v>24</v>
      </c>
      <c r="D26" s="16" t="s">
        <v>16</v>
      </c>
      <c r="E26" s="17">
        <v>3</v>
      </c>
      <c r="F26" s="18" t="s">
        <v>17</v>
      </c>
      <c r="G26" s="19">
        <v>7700.76</v>
      </c>
      <c r="H26" s="16">
        <f>_xlfn.RANK.EQ(G26,$G$24:$G$27,0)</f>
        <v>4</v>
      </c>
      <c r="I26" s="29">
        <f t="shared" si="0"/>
        <v>1.6986898770207523E-2</v>
      </c>
    </row>
    <row r="27" spans="2:9">
      <c r="B27" s="14">
        <v>7833.8325199999999</v>
      </c>
      <c r="C27" s="38" t="s">
        <v>24</v>
      </c>
      <c r="D27" s="16" t="s">
        <v>18</v>
      </c>
      <c r="E27" s="17">
        <v>3</v>
      </c>
      <c r="F27" s="18" t="s">
        <v>19</v>
      </c>
      <c r="G27" s="19">
        <v>7746.08</v>
      </c>
      <c r="H27" s="16">
        <f>_xlfn.RANK.EQ(G27,$G$24:$G$27,0)</f>
        <v>1</v>
      </c>
      <c r="I27" s="29">
        <f t="shared" si="0"/>
        <v>1.1201735520381026E-2</v>
      </c>
    </row>
    <row r="28" spans="2:9">
      <c r="B28" s="35"/>
      <c r="C28" s="22" t="s">
        <v>20</v>
      </c>
      <c r="D28" s="23" t="s">
        <v>20</v>
      </c>
      <c r="E28" s="22" t="s">
        <v>20</v>
      </c>
      <c r="F28" s="24" t="s">
        <v>20</v>
      </c>
      <c r="G28" s="25" t="s">
        <v>20</v>
      </c>
      <c r="H28" s="23" t="s">
        <v>20</v>
      </c>
      <c r="I28" s="26" t="e">
        <f t="shared" si="0"/>
        <v>#VALUE!</v>
      </c>
    </row>
    <row r="29" spans="2:9">
      <c r="B29" s="14">
        <v>7771.6616199999999</v>
      </c>
      <c r="C29" s="34" t="s">
        <v>25</v>
      </c>
      <c r="D29" s="16" t="s">
        <v>12</v>
      </c>
      <c r="E29" s="17">
        <v>2</v>
      </c>
      <c r="F29" s="18" t="s">
        <v>13</v>
      </c>
      <c r="G29" s="19">
        <v>7700.75</v>
      </c>
      <c r="H29" s="16">
        <f>_xlfn.RANK.EQ(G29,$G$29:$G$32,0)</f>
        <v>3</v>
      </c>
      <c r="I29" s="29">
        <f t="shared" si="0"/>
        <v>9.124383364493404E-3</v>
      </c>
    </row>
    <row r="30" spans="2:9">
      <c r="B30" s="14">
        <v>7771.6616199999999</v>
      </c>
      <c r="C30" s="34" t="s">
        <v>25</v>
      </c>
      <c r="D30" s="16" t="s">
        <v>14</v>
      </c>
      <c r="E30" s="17">
        <v>2</v>
      </c>
      <c r="F30" s="18" t="s">
        <v>15</v>
      </c>
      <c r="G30" s="19">
        <v>7729.076</v>
      </c>
      <c r="H30" s="16">
        <f>_xlfn.RANK.EQ(G30,$G$29:$G$32,0)</f>
        <v>1</v>
      </c>
      <c r="I30" s="29">
        <f t="shared" si="0"/>
        <v>5.4796029578034868E-3</v>
      </c>
    </row>
    <row r="31" spans="2:9">
      <c r="B31" s="14">
        <v>7771.6616199999999</v>
      </c>
      <c r="C31" s="34" t="s">
        <v>25</v>
      </c>
      <c r="D31" s="16" t="s">
        <v>16</v>
      </c>
      <c r="E31" s="17">
        <v>3</v>
      </c>
      <c r="F31" s="18" t="s">
        <v>17</v>
      </c>
      <c r="G31" s="19">
        <v>7670.8266700000004</v>
      </c>
      <c r="H31" s="16">
        <f>_xlfn.RANK.EQ(G31,$G$29:$G$32,0)</f>
        <v>4</v>
      </c>
      <c r="I31" s="29">
        <f t="shared" si="0"/>
        <v>1.2974696394462871E-2</v>
      </c>
    </row>
    <row r="32" spans="2:9">
      <c r="B32" s="14">
        <v>7771.6616199999999</v>
      </c>
      <c r="C32" s="34" t="s">
        <v>25</v>
      </c>
      <c r="D32" s="16" t="s">
        <v>18</v>
      </c>
      <c r="E32" s="17">
        <v>3</v>
      </c>
      <c r="F32" s="18" t="s">
        <v>19</v>
      </c>
      <c r="G32" s="19">
        <v>7713.06333</v>
      </c>
      <c r="H32" s="16">
        <f>_xlfn.RANK.EQ(G32,$G$29:$G$32,0)</f>
        <v>2</v>
      </c>
      <c r="I32" s="29">
        <f t="shared" si="0"/>
        <v>7.5399950313328112E-3</v>
      </c>
    </row>
    <row r="33" spans="2:9">
      <c r="B33" s="35"/>
      <c r="C33" s="22" t="s">
        <v>20</v>
      </c>
      <c r="D33" s="23" t="s">
        <v>20</v>
      </c>
      <c r="E33" s="48" t="s">
        <v>20</v>
      </c>
      <c r="F33" s="24" t="s">
        <v>20</v>
      </c>
      <c r="G33" s="49" t="s">
        <v>20</v>
      </c>
      <c r="H33" s="23" t="s">
        <v>20</v>
      </c>
      <c r="I33" s="26" t="e">
        <f t="shared" si="0"/>
        <v>#VALUE!</v>
      </c>
    </row>
    <row r="34" spans="2:9">
      <c r="B34" s="14">
        <v>778030.625</v>
      </c>
      <c r="C34" s="34" t="s">
        <v>26</v>
      </c>
      <c r="D34" s="39" t="s">
        <v>12</v>
      </c>
      <c r="E34" s="17">
        <v>2</v>
      </c>
      <c r="F34" s="18" t="s">
        <v>13</v>
      </c>
      <c r="G34" s="19">
        <v>773549.86329999997</v>
      </c>
      <c r="H34" s="16">
        <f>_xlfn.RANK.EQ(G34,$G$34:$G$37,0)</f>
        <v>1</v>
      </c>
      <c r="I34" s="29">
        <f t="shared" si="0"/>
        <v>5.7591071045564974E-3</v>
      </c>
    </row>
    <row r="35" spans="2:9">
      <c r="B35" s="14">
        <v>778030.625</v>
      </c>
      <c r="C35" s="34" t="s">
        <v>26</v>
      </c>
      <c r="D35" s="16" t="s">
        <v>14</v>
      </c>
      <c r="E35" s="17">
        <v>2</v>
      </c>
      <c r="F35" s="18" t="s">
        <v>15</v>
      </c>
      <c r="G35" s="19">
        <v>771820.0233</v>
      </c>
      <c r="H35" s="16">
        <f>_xlfn.RANK.EQ(G35,$G$34:$G$37,0)</f>
        <v>3</v>
      </c>
      <c r="I35" s="29">
        <f t="shared" si="0"/>
        <v>7.9824643149490407E-3</v>
      </c>
    </row>
    <row r="36" spans="2:9">
      <c r="B36" s="14">
        <v>778030.625</v>
      </c>
      <c r="C36" s="34" t="s">
        <v>26</v>
      </c>
      <c r="D36" s="16" t="s">
        <v>16</v>
      </c>
      <c r="E36" s="17">
        <v>3</v>
      </c>
      <c r="F36" s="18" t="s">
        <v>17</v>
      </c>
      <c r="G36" s="19">
        <v>771918.01659999997</v>
      </c>
      <c r="H36" s="16">
        <f>_xlfn.RANK.EQ(G36,$G$34:$G$37,0)</f>
        <v>2</v>
      </c>
      <c r="I36" s="29">
        <f t="shared" si="0"/>
        <v>7.8565138743735517E-3</v>
      </c>
    </row>
    <row r="37" spans="2:9">
      <c r="B37" s="14">
        <v>778030.625</v>
      </c>
      <c r="C37" s="34" t="s">
        <v>26</v>
      </c>
      <c r="D37" s="16" t="s">
        <v>18</v>
      </c>
      <c r="E37" s="17">
        <v>3</v>
      </c>
      <c r="F37" s="18" t="s">
        <v>19</v>
      </c>
      <c r="G37" s="19">
        <v>769731.01659999997</v>
      </c>
      <c r="H37" s="16">
        <f>_xlfn.RANK.EQ(G37,$G$34:$G$37,0)</f>
        <v>4</v>
      </c>
      <c r="I37" s="29">
        <f t="shared" si="0"/>
        <v>1.0667457209669641E-2</v>
      </c>
    </row>
    <row r="38" spans="2:9">
      <c r="B38" s="35"/>
      <c r="C38" s="22" t="s">
        <v>20</v>
      </c>
      <c r="D38" s="23" t="s">
        <v>20</v>
      </c>
      <c r="E38" s="22" t="s">
        <v>20</v>
      </c>
      <c r="F38" s="24" t="s">
        <v>20</v>
      </c>
      <c r="G38" s="25" t="s">
        <v>20</v>
      </c>
      <c r="H38" s="23" t="s">
        <v>20</v>
      </c>
      <c r="I38" s="26" t="e">
        <f t="shared" si="0"/>
        <v>#VALUE!</v>
      </c>
    </row>
    <row r="39" spans="2:9">
      <c r="B39" s="14">
        <v>779963.6875</v>
      </c>
      <c r="C39" s="38" t="s">
        <v>27</v>
      </c>
      <c r="D39" s="16" t="s">
        <v>12</v>
      </c>
      <c r="E39" s="17">
        <v>2</v>
      </c>
      <c r="F39" s="18" t="s">
        <v>13</v>
      </c>
      <c r="G39" s="19">
        <v>770675.28333000001</v>
      </c>
      <c r="H39" s="28">
        <f>_xlfn.RANK.EQ(G39,$G$39:$G$42,0)</f>
        <v>3</v>
      </c>
      <c r="I39" s="29">
        <f t="shared" si="0"/>
        <v>1.1908764880800934E-2</v>
      </c>
    </row>
    <row r="40" spans="2:9">
      <c r="B40" s="14">
        <v>779963.6875</v>
      </c>
      <c r="C40" s="38" t="s">
        <v>27</v>
      </c>
      <c r="D40" s="16" t="s">
        <v>14</v>
      </c>
      <c r="E40" s="17">
        <v>2</v>
      </c>
      <c r="F40" s="18" t="s">
        <v>15</v>
      </c>
      <c r="G40" s="19">
        <v>769388.83666999999</v>
      </c>
      <c r="H40" s="28">
        <f>_xlfn.RANK.EQ(G40,$G$39:$G$42,0)</f>
        <v>4</v>
      </c>
      <c r="I40" s="29">
        <f t="shared" si="0"/>
        <v>1.3558132255996867E-2</v>
      </c>
    </row>
    <row r="41" spans="2:9">
      <c r="B41" s="14">
        <v>779963.6875</v>
      </c>
      <c r="C41" s="38" t="s">
        <v>27</v>
      </c>
      <c r="D41" s="16" t="s">
        <v>16</v>
      </c>
      <c r="E41" s="17">
        <v>3</v>
      </c>
      <c r="F41" s="18" t="s">
        <v>17</v>
      </c>
      <c r="G41" s="19">
        <v>772303.83</v>
      </c>
      <c r="H41" s="28">
        <f>_xlfn.RANK.EQ(G41,$G$39:$G$42,0)</f>
        <v>2</v>
      </c>
      <c r="I41" s="29">
        <f t="shared" si="0"/>
        <v>9.8207873299230256E-3</v>
      </c>
    </row>
    <row r="42" spans="2:9" ht="17" thickBot="1">
      <c r="B42" s="40">
        <v>779963.6875</v>
      </c>
      <c r="C42" s="41" t="s">
        <v>27</v>
      </c>
      <c r="D42" s="42" t="s">
        <v>18</v>
      </c>
      <c r="E42" s="43">
        <v>3</v>
      </c>
      <c r="F42" s="44" t="s">
        <v>19</v>
      </c>
      <c r="G42" s="45">
        <v>774203.18333000003</v>
      </c>
      <c r="H42" s="46">
        <f>_xlfn.RANK.EQ(G42,$G$39:$G$42,0)</f>
        <v>1</v>
      </c>
      <c r="I42" s="47">
        <f t="shared" si="0"/>
        <v>7.3856055894909482E-3</v>
      </c>
    </row>
  </sheetData>
  <mergeCells count="5">
    <mergeCell ref="B2:B3"/>
    <mergeCell ref="C2:C3"/>
    <mergeCell ref="D2:D3"/>
    <mergeCell ref="E2:E3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6311-5A70-A24A-BD3D-8D8D25FCB5BD}">
  <dimension ref="B1:G21"/>
  <sheetViews>
    <sheetView showGridLines="0" workbookViewId="0">
      <selection activeCell="K20" sqref="K20"/>
    </sheetView>
  </sheetViews>
  <sheetFormatPr baseColWidth="10" defaultRowHeight="16"/>
  <cols>
    <col min="2" max="2" width="27.5" bestFit="1" customWidth="1"/>
    <col min="3" max="4" width="14" bestFit="1" customWidth="1"/>
    <col min="5" max="5" width="12.1640625" bestFit="1" customWidth="1"/>
    <col min="6" max="6" width="14" bestFit="1" customWidth="1"/>
    <col min="7" max="7" width="12.1640625" bestFit="1" customWidth="1"/>
  </cols>
  <sheetData>
    <row r="1" spans="2:7" ht="17" thickBot="1"/>
    <row r="2" spans="2:7" ht="17" thickBot="1">
      <c r="B2" s="99" t="s">
        <v>1</v>
      </c>
      <c r="C2" s="100" t="s">
        <v>0</v>
      </c>
      <c r="D2" s="101" t="s">
        <v>28</v>
      </c>
      <c r="E2" s="100" t="s">
        <v>29</v>
      </c>
      <c r="F2" s="101" t="s">
        <v>30</v>
      </c>
      <c r="G2" s="100" t="s">
        <v>29</v>
      </c>
    </row>
    <row r="3" spans="2:7">
      <c r="B3" s="50" t="s">
        <v>31</v>
      </c>
      <c r="C3" s="86">
        <v>19477.328099999999</v>
      </c>
      <c r="D3" s="87">
        <v>19477.325769999999</v>
      </c>
      <c r="E3" s="88">
        <f>(C3-D3)/C3*100</f>
        <v>1.1962626431019101E-5</v>
      </c>
      <c r="F3" s="87">
        <v>19477.325700000001</v>
      </c>
      <c r="G3" s="89">
        <f>(C3-F3)/C3*100</f>
        <v>1.2322018632414789E-5</v>
      </c>
    </row>
    <row r="4" spans="2:7" ht="17" thickBot="1">
      <c r="B4" s="51" t="s">
        <v>32</v>
      </c>
      <c r="C4" s="90">
        <v>19604.84375</v>
      </c>
      <c r="D4" s="91">
        <v>19604.843560000001</v>
      </c>
      <c r="E4" s="92">
        <f t="shared" ref="E4:E21" si="0">(C4-D4)/C4*100</f>
        <v>9.691482434700613E-7</v>
      </c>
      <c r="F4" s="91">
        <v>19604.843560000001</v>
      </c>
      <c r="G4" s="93">
        <f t="shared" ref="G4:G21" si="1">(C4-F4)/C4*100</f>
        <v>9.691482434700613E-7</v>
      </c>
    </row>
    <row r="5" spans="2:7">
      <c r="B5" s="50" t="s">
        <v>33</v>
      </c>
      <c r="C5" s="90">
        <v>4142</v>
      </c>
      <c r="D5" s="91">
        <v>4142</v>
      </c>
      <c r="E5" s="92">
        <f t="shared" si="0"/>
        <v>0</v>
      </c>
      <c r="F5" s="91">
        <v>4142</v>
      </c>
      <c r="G5" s="93">
        <f t="shared" si="1"/>
        <v>0</v>
      </c>
    </row>
    <row r="6" spans="2:7">
      <c r="B6" s="52" t="s">
        <v>34</v>
      </c>
      <c r="C6" s="90">
        <v>16225</v>
      </c>
      <c r="D6" s="91">
        <v>16225</v>
      </c>
      <c r="E6" s="92">
        <f t="shared" si="0"/>
        <v>0</v>
      </c>
      <c r="F6" s="91">
        <v>16225</v>
      </c>
      <c r="G6" s="93">
        <f t="shared" si="1"/>
        <v>0</v>
      </c>
    </row>
    <row r="7" spans="2:7">
      <c r="B7" s="52" t="s">
        <v>35</v>
      </c>
      <c r="C7" s="90">
        <v>35881</v>
      </c>
      <c r="D7" s="91">
        <v>35866</v>
      </c>
      <c r="E7" s="92">
        <f t="shared" si="0"/>
        <v>4.1804854937153371E-2</v>
      </c>
      <c r="F7" s="91">
        <v>35859.666666999998</v>
      </c>
      <c r="G7" s="93">
        <f t="shared" si="1"/>
        <v>5.9455792759405574E-2</v>
      </c>
    </row>
    <row r="8" spans="2:7">
      <c r="B8" s="52" t="s">
        <v>36</v>
      </c>
      <c r="C8" s="90">
        <v>62487</v>
      </c>
      <c r="D8" s="91">
        <v>62446</v>
      </c>
      <c r="E8" s="92">
        <f t="shared" si="0"/>
        <v>6.5613647638708847E-2</v>
      </c>
      <c r="F8" s="91">
        <v>62337.666666999998</v>
      </c>
      <c r="G8" s="93">
        <f t="shared" si="1"/>
        <v>0.23898304127258843</v>
      </c>
    </row>
    <row r="9" spans="2:7" ht="17" thickBot="1">
      <c r="B9" s="51" t="s">
        <v>37</v>
      </c>
      <c r="C9" s="90">
        <v>97344</v>
      </c>
      <c r="D9" s="91">
        <v>97295</v>
      </c>
      <c r="E9" s="92">
        <f t="shared" si="0"/>
        <v>5.0336949375410917E-2</v>
      </c>
      <c r="F9" s="91">
        <v>97188.66</v>
      </c>
      <c r="G9" s="93">
        <f t="shared" si="1"/>
        <v>0.15957840236686033</v>
      </c>
    </row>
    <row r="10" spans="2:7">
      <c r="B10" s="50" t="s">
        <v>38</v>
      </c>
      <c r="C10" s="90">
        <v>7755.4106400000001</v>
      </c>
      <c r="D10" s="91">
        <v>7710.65</v>
      </c>
      <c r="E10" s="92">
        <f t="shared" si="0"/>
        <v>0.57715370697637769</v>
      </c>
      <c r="F10" s="91">
        <v>7682.26</v>
      </c>
      <c r="G10" s="93">
        <f t="shared" si="1"/>
        <v>0.9432207189998626</v>
      </c>
    </row>
    <row r="11" spans="2:7">
      <c r="B11" s="52" t="s">
        <v>39</v>
      </c>
      <c r="C11" s="90">
        <v>7733.8613299999997</v>
      </c>
      <c r="D11" s="91">
        <v>7687.91</v>
      </c>
      <c r="E11" s="92">
        <f t="shared" si="0"/>
        <v>0.59415766638784395</v>
      </c>
      <c r="F11" s="91">
        <v>7633.433</v>
      </c>
      <c r="G11" s="93">
        <f t="shared" si="1"/>
        <v>1.2985535389732639</v>
      </c>
    </row>
    <row r="12" spans="2:7">
      <c r="B12" s="52" t="s">
        <v>40</v>
      </c>
      <c r="C12" s="90">
        <v>114201</v>
      </c>
      <c r="D12" s="91">
        <v>112832</v>
      </c>
      <c r="E12" s="92">
        <f t="shared" si="0"/>
        <v>1.198763583506274</v>
      </c>
      <c r="F12" s="91">
        <v>112560</v>
      </c>
      <c r="G12" s="93">
        <f t="shared" si="1"/>
        <v>1.4369401318727506</v>
      </c>
    </row>
    <row r="13" spans="2:7" ht="17" thickBot="1">
      <c r="B13" s="51" t="s">
        <v>41</v>
      </c>
      <c r="C13" s="90">
        <v>114191</v>
      </c>
      <c r="D13" s="91">
        <v>112836</v>
      </c>
      <c r="E13" s="92">
        <f t="shared" si="0"/>
        <v>1.1866084017129197</v>
      </c>
      <c r="F13" s="91">
        <v>112731.33</v>
      </c>
      <c r="G13" s="93">
        <f t="shared" si="1"/>
        <v>1.2782706167736495</v>
      </c>
    </row>
    <row r="14" spans="2:7">
      <c r="B14" s="50" t="s">
        <v>42</v>
      </c>
      <c r="C14" s="90">
        <v>778802.9375</v>
      </c>
      <c r="D14" s="94">
        <v>774893.11</v>
      </c>
      <c r="E14" s="92">
        <f t="shared" si="0"/>
        <v>0.50203039969915542</v>
      </c>
      <c r="F14" s="94">
        <v>772319.41</v>
      </c>
      <c r="G14" s="93">
        <f t="shared" si="1"/>
        <v>0.83249910700291463</v>
      </c>
    </row>
    <row r="15" spans="2:7">
      <c r="B15" s="52" t="s">
        <v>43</v>
      </c>
      <c r="C15" s="90">
        <v>778644.8125</v>
      </c>
      <c r="D15" s="94">
        <v>773085.66</v>
      </c>
      <c r="E15" s="92">
        <f t="shared" si="0"/>
        <v>0.71395229387725068</v>
      </c>
      <c r="F15" s="94">
        <v>769925.90300000005</v>
      </c>
      <c r="G15" s="93">
        <f t="shared" si="1"/>
        <v>1.1197543937917074</v>
      </c>
    </row>
    <row r="16" spans="2:7">
      <c r="B16" s="52" t="s">
        <v>44</v>
      </c>
      <c r="C16" s="90">
        <v>11295054.199999999</v>
      </c>
      <c r="D16" s="91">
        <v>11179563.400800001</v>
      </c>
      <c r="E16" s="92">
        <f t="shared" si="0"/>
        <v>1.0224899956655222</v>
      </c>
      <c r="F16" s="91">
        <v>11152466.236400001</v>
      </c>
      <c r="G16" s="93">
        <f t="shared" si="1"/>
        <v>1.2623929117577719</v>
      </c>
    </row>
    <row r="17" spans="2:7" ht="17" thickBot="1">
      <c r="B17" s="51" t="s">
        <v>45</v>
      </c>
      <c r="C17" s="90">
        <v>11307104.800000001</v>
      </c>
      <c r="D17" s="91">
        <v>11158556.85</v>
      </c>
      <c r="E17" s="92">
        <f t="shared" si="0"/>
        <v>1.313757611939717</v>
      </c>
      <c r="F17" s="91">
        <v>11148672.8452</v>
      </c>
      <c r="G17" s="93">
        <f t="shared" si="1"/>
        <v>1.4011717199260452</v>
      </c>
    </row>
    <row r="18" spans="2:7">
      <c r="B18" s="50" t="s">
        <v>46</v>
      </c>
      <c r="C18" s="90">
        <v>24899703</v>
      </c>
      <c r="D18" s="91">
        <v>24642462</v>
      </c>
      <c r="E18" s="92">
        <f t="shared" si="0"/>
        <v>1.0331087081641095</v>
      </c>
      <c r="F18" s="91">
        <v>24621708.66</v>
      </c>
      <c r="G18" s="93">
        <f t="shared" si="1"/>
        <v>1.1164564492998164</v>
      </c>
    </row>
    <row r="19" spans="2:7">
      <c r="B19" s="52" t="s">
        <v>47</v>
      </c>
      <c r="C19" s="90">
        <v>43476251</v>
      </c>
      <c r="D19" s="91">
        <v>43066888</v>
      </c>
      <c r="E19" s="92">
        <f t="shared" si="0"/>
        <v>0.94157842634591471</v>
      </c>
      <c r="F19" s="91">
        <v>43052591</v>
      </c>
      <c r="G19" s="93">
        <f t="shared" si="1"/>
        <v>0.97446304650325066</v>
      </c>
    </row>
    <row r="20" spans="2:7">
      <c r="B20" s="52" t="s">
        <v>48</v>
      </c>
      <c r="C20" s="90">
        <v>66992877</v>
      </c>
      <c r="D20" s="91">
        <v>66550448</v>
      </c>
      <c r="E20" s="92">
        <f t="shared" si="0"/>
        <v>0.66041200171176406</v>
      </c>
      <c r="F20" s="91">
        <v>66462328</v>
      </c>
      <c r="G20" s="93">
        <f t="shared" si="1"/>
        <v>0.79194837385473082</v>
      </c>
    </row>
    <row r="21" spans="2:7" ht="17" thickBot="1">
      <c r="B21" s="51" t="s">
        <v>49</v>
      </c>
      <c r="C21" s="95">
        <v>95643586</v>
      </c>
      <c r="D21" s="96">
        <v>94942765</v>
      </c>
      <c r="E21" s="97">
        <f t="shared" si="0"/>
        <v>0.73274228760096882</v>
      </c>
      <c r="F21" s="96">
        <v>94909248</v>
      </c>
      <c r="G21" s="98">
        <f t="shared" si="1"/>
        <v>0.76778593391510852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7D55-3E82-A943-8C1C-24F8E16ABB9D}">
  <dimension ref="B1:K22"/>
  <sheetViews>
    <sheetView tabSelected="1" zoomScale="66" workbookViewId="0">
      <selection activeCell="E42" sqref="E42"/>
    </sheetView>
  </sheetViews>
  <sheetFormatPr baseColWidth="10" defaultRowHeight="16"/>
  <cols>
    <col min="2" max="2" width="27.5" bestFit="1" customWidth="1"/>
    <col min="3" max="4" width="14" bestFit="1" customWidth="1"/>
    <col min="5" max="5" width="12.1640625" bestFit="1" customWidth="1"/>
    <col min="6" max="6" width="14" bestFit="1" customWidth="1"/>
    <col min="7" max="8" width="12.1640625" bestFit="1" customWidth="1"/>
    <col min="9" max="9" width="13.83203125" bestFit="1" customWidth="1"/>
    <col min="10" max="10" width="14" bestFit="1" customWidth="1"/>
    <col min="11" max="11" width="12.83203125" bestFit="1" customWidth="1"/>
  </cols>
  <sheetData>
    <row r="1" spans="2:11" ht="17" thickBot="1"/>
    <row r="2" spans="2:11">
      <c r="B2" s="84" t="s">
        <v>53</v>
      </c>
      <c r="C2" s="82" t="s">
        <v>0</v>
      </c>
      <c r="D2" s="71" t="s">
        <v>50</v>
      </c>
      <c r="E2" s="73" t="s">
        <v>51</v>
      </c>
      <c r="F2" s="71" t="s">
        <v>52</v>
      </c>
      <c r="G2" s="73" t="s">
        <v>51</v>
      </c>
      <c r="H2" s="71" t="s">
        <v>50</v>
      </c>
      <c r="I2" s="73" t="s">
        <v>51</v>
      </c>
      <c r="J2" s="71" t="s">
        <v>52</v>
      </c>
      <c r="K2" s="73" t="s">
        <v>51</v>
      </c>
    </row>
    <row r="3" spans="2:11" ht="17" thickBot="1">
      <c r="B3" s="85"/>
      <c r="C3" s="83"/>
      <c r="D3" s="72" t="s">
        <v>54</v>
      </c>
      <c r="E3" s="74" t="s">
        <v>55</v>
      </c>
      <c r="F3" s="72" t="s">
        <v>56</v>
      </c>
      <c r="G3" s="74" t="s">
        <v>57</v>
      </c>
      <c r="H3" s="72" t="s">
        <v>58</v>
      </c>
      <c r="I3" s="74" t="s">
        <v>59</v>
      </c>
      <c r="J3" s="72" t="s">
        <v>60</v>
      </c>
      <c r="K3" s="74" t="s">
        <v>61</v>
      </c>
    </row>
    <row r="4" spans="2:11">
      <c r="B4" s="53" t="s">
        <v>31</v>
      </c>
      <c r="C4" s="59">
        <v>19477.328099999999</v>
      </c>
      <c r="D4" s="60">
        <v>19477.325700000001</v>
      </c>
      <c r="E4" s="61">
        <f>(C4-D4)/C4*100</f>
        <v>1.2322018632414789E-5</v>
      </c>
      <c r="F4" s="60">
        <v>19477.325700000001</v>
      </c>
      <c r="G4" s="61">
        <f>(C4-F4)/C4*100</f>
        <v>1.2322018632414789E-5</v>
      </c>
      <c r="H4" s="62">
        <v>19477.325000000001</v>
      </c>
      <c r="I4" s="61">
        <f>(C4-H4)/C4*100</f>
        <v>1.5915940739761775E-5</v>
      </c>
      <c r="J4" s="62">
        <v>19477.325000000001</v>
      </c>
      <c r="K4" s="63">
        <f>(C4-J4)/C4*100</f>
        <v>1.5915940739761775E-5</v>
      </c>
    </row>
    <row r="5" spans="2:11" ht="17" thickBot="1">
      <c r="B5" s="54" t="s">
        <v>32</v>
      </c>
      <c r="C5" s="64">
        <v>19604.84375</v>
      </c>
      <c r="D5" s="56">
        <v>19604.843499999999</v>
      </c>
      <c r="E5" s="65">
        <f t="shared" ref="E5:E22" si="0">(C5-D5)/C5*100</f>
        <v>1.2751950698940226E-6</v>
      </c>
      <c r="F5" s="56">
        <v>19604.84</v>
      </c>
      <c r="G5" s="65">
        <f t="shared" ref="G5:G22" si="1">(C5-F5)/C5*100</f>
        <v>1.9127925974184216E-5</v>
      </c>
      <c r="H5" s="58">
        <v>19604.84</v>
      </c>
      <c r="I5" s="65">
        <f t="shared" ref="I5:I22" si="2">(C5-H5)/C5*100</f>
        <v>1.9127925974184216E-5</v>
      </c>
      <c r="J5" s="58">
        <v>19604.84</v>
      </c>
      <c r="K5" s="66">
        <f t="shared" ref="K5:K22" si="3">(C5-J5)/C5*100</f>
        <v>1.9127925974184216E-5</v>
      </c>
    </row>
    <row r="6" spans="2:11">
      <c r="B6" s="53" t="s">
        <v>33</v>
      </c>
      <c r="C6" s="64">
        <v>4142</v>
      </c>
      <c r="D6" s="56">
        <v>4142</v>
      </c>
      <c r="E6" s="65">
        <f t="shared" si="0"/>
        <v>0</v>
      </c>
      <c r="F6" s="56">
        <v>4140.66</v>
      </c>
      <c r="G6" s="65">
        <f t="shared" si="1"/>
        <v>3.2351521004349237E-2</v>
      </c>
      <c r="H6" s="58">
        <v>4142</v>
      </c>
      <c r="I6" s="65">
        <f t="shared" si="2"/>
        <v>0</v>
      </c>
      <c r="J6" s="58">
        <v>4140.33</v>
      </c>
      <c r="K6" s="66">
        <f t="shared" si="3"/>
        <v>4.0318686624820681E-2</v>
      </c>
    </row>
    <row r="7" spans="2:11">
      <c r="B7" s="55" t="s">
        <v>34</v>
      </c>
      <c r="C7" s="64">
        <v>16225</v>
      </c>
      <c r="D7" s="56">
        <v>16225</v>
      </c>
      <c r="E7" s="65">
        <f t="shared" si="0"/>
        <v>0</v>
      </c>
      <c r="F7" s="56">
        <v>16224.6</v>
      </c>
      <c r="G7" s="65">
        <f t="shared" si="1"/>
        <v>2.4653312788883584E-3</v>
      </c>
      <c r="H7" s="58">
        <v>16225</v>
      </c>
      <c r="I7" s="65">
        <f t="shared" si="2"/>
        <v>0</v>
      </c>
      <c r="J7" s="58">
        <v>16224.66</v>
      </c>
      <c r="K7" s="66">
        <f t="shared" si="3"/>
        <v>2.0955315870579078E-3</v>
      </c>
    </row>
    <row r="8" spans="2:11">
      <c r="B8" s="55" t="s">
        <v>35</v>
      </c>
      <c r="C8" s="64">
        <v>35881</v>
      </c>
      <c r="D8" s="56">
        <v>35850</v>
      </c>
      <c r="E8" s="65">
        <f t="shared" si="0"/>
        <v>8.6396700203450305E-2</v>
      </c>
      <c r="F8" s="56">
        <v>35839</v>
      </c>
      <c r="G8" s="65">
        <f t="shared" si="1"/>
        <v>0.11705359382402944</v>
      </c>
      <c r="H8" s="58">
        <v>35881</v>
      </c>
      <c r="I8" s="65">
        <f t="shared" si="2"/>
        <v>0</v>
      </c>
      <c r="J8" s="58">
        <v>35875.599999999999</v>
      </c>
      <c r="K8" s="66">
        <f t="shared" si="3"/>
        <v>1.5049747777379267E-2</v>
      </c>
    </row>
    <row r="9" spans="2:11">
      <c r="B9" s="55" t="s">
        <v>36</v>
      </c>
      <c r="C9" s="64">
        <v>62487</v>
      </c>
      <c r="D9" s="56">
        <v>62386</v>
      </c>
      <c r="E9" s="65">
        <f t="shared" si="0"/>
        <v>0.16163361979291693</v>
      </c>
      <c r="F9" s="56">
        <v>62344</v>
      </c>
      <c r="G9" s="65">
        <f t="shared" si="1"/>
        <v>0.22884760030086257</v>
      </c>
      <c r="H9" s="58">
        <v>62417</v>
      </c>
      <c r="I9" s="65">
        <f t="shared" si="2"/>
        <v>0.11202330084657608</v>
      </c>
      <c r="J9" s="58">
        <v>62401.33</v>
      </c>
      <c r="K9" s="66">
        <f t="shared" si="3"/>
        <v>0.13710051690751399</v>
      </c>
    </row>
    <row r="10" spans="2:11" ht="17" thickBot="1">
      <c r="B10" s="54" t="s">
        <v>37</v>
      </c>
      <c r="C10" s="64">
        <v>97344</v>
      </c>
      <c r="D10" s="56">
        <v>96975</v>
      </c>
      <c r="E10" s="65">
        <f t="shared" si="0"/>
        <v>0.37906804733727811</v>
      </c>
      <c r="F10" s="56">
        <v>96851.66</v>
      </c>
      <c r="G10" s="65">
        <f t="shared" si="1"/>
        <v>0.5057733399079517</v>
      </c>
      <c r="H10" s="58">
        <v>97331</v>
      </c>
      <c r="I10" s="65">
        <f t="shared" si="2"/>
        <v>1.3354700854700856E-2</v>
      </c>
      <c r="J10" s="58">
        <v>97144</v>
      </c>
      <c r="K10" s="66">
        <f t="shared" si="3"/>
        <v>0.20545693622616698</v>
      </c>
    </row>
    <row r="11" spans="2:11">
      <c r="B11" s="53" t="s">
        <v>38</v>
      </c>
      <c r="C11" s="64">
        <v>7755.4106400000001</v>
      </c>
      <c r="D11" s="56">
        <v>7755.41</v>
      </c>
      <c r="E11" s="65">
        <f t="shared" si="0"/>
        <v>8.2523031972314071E-6</v>
      </c>
      <c r="F11" s="56">
        <v>7716.41</v>
      </c>
      <c r="G11" s="65">
        <f t="shared" si="1"/>
        <v>0.50288297822486683</v>
      </c>
      <c r="H11" s="58">
        <v>7704.84</v>
      </c>
      <c r="I11" s="65">
        <f t="shared" si="2"/>
        <v>0.65206914691495832</v>
      </c>
      <c r="J11" s="58">
        <v>7691.0829999999996</v>
      </c>
      <c r="K11" s="66">
        <f t="shared" si="3"/>
        <v>0.82945498292789854</v>
      </c>
    </row>
    <row r="12" spans="2:11">
      <c r="B12" s="55" t="s">
        <v>39</v>
      </c>
      <c r="C12" s="64">
        <v>7733.8613299999997</v>
      </c>
      <c r="D12" s="56">
        <v>7697.44</v>
      </c>
      <c r="E12" s="65">
        <f t="shared" si="0"/>
        <v>0.47093332096245544</v>
      </c>
      <c r="F12" s="56">
        <v>7690.57</v>
      </c>
      <c r="G12" s="65">
        <f t="shared" si="1"/>
        <v>0.55976346294277324</v>
      </c>
      <c r="H12" s="58">
        <v>7701.84</v>
      </c>
      <c r="I12" s="65">
        <f t="shared" si="2"/>
        <v>0.41404065360969666</v>
      </c>
      <c r="J12" s="58">
        <v>7691.09</v>
      </c>
      <c r="K12" s="66">
        <f t="shared" si="3"/>
        <v>0.55303978407380605</v>
      </c>
    </row>
    <row r="13" spans="2:11">
      <c r="B13" s="55" t="s">
        <v>40</v>
      </c>
      <c r="C13" s="64">
        <v>114201</v>
      </c>
      <c r="D13" s="56">
        <v>112575</v>
      </c>
      <c r="E13" s="65">
        <f t="shared" si="0"/>
        <v>1.4238053957495995</v>
      </c>
      <c r="F13" s="56">
        <v>112302.66</v>
      </c>
      <c r="G13" s="65">
        <f t="shared" si="1"/>
        <v>1.662279664801531</v>
      </c>
      <c r="H13" s="58">
        <v>112408</v>
      </c>
      <c r="I13" s="65">
        <f t="shared" si="2"/>
        <v>1.5700387912540172</v>
      </c>
      <c r="J13" s="58">
        <v>112192.66</v>
      </c>
      <c r="K13" s="66">
        <f t="shared" si="3"/>
        <v>1.7586010630379738</v>
      </c>
    </row>
    <row r="14" spans="2:11" ht="17" thickBot="1">
      <c r="B14" s="54" t="s">
        <v>41</v>
      </c>
      <c r="C14" s="64">
        <v>114191</v>
      </c>
      <c r="D14" s="56">
        <v>112721</v>
      </c>
      <c r="E14" s="65">
        <f t="shared" si="0"/>
        <v>1.2873168638509165</v>
      </c>
      <c r="F14" s="56">
        <v>112602</v>
      </c>
      <c r="G14" s="65">
        <f t="shared" si="1"/>
        <v>1.3915282290198001</v>
      </c>
      <c r="H14" s="58">
        <v>112947</v>
      </c>
      <c r="I14" s="65">
        <f t="shared" si="2"/>
        <v>1.0894028426058096</v>
      </c>
      <c r="J14" s="58">
        <v>112703.66</v>
      </c>
      <c r="K14" s="66">
        <f t="shared" si="3"/>
        <v>1.3025019484898079</v>
      </c>
    </row>
    <row r="15" spans="2:11">
      <c r="B15" s="53" t="s">
        <v>42</v>
      </c>
      <c r="C15" s="64">
        <v>778802.9375</v>
      </c>
      <c r="D15" s="56">
        <v>775825.01</v>
      </c>
      <c r="E15" s="65">
        <f>(C15-D15)/C15*100</f>
        <v>0.38237240213285539</v>
      </c>
      <c r="F15" s="58">
        <v>773630.58</v>
      </c>
      <c r="G15" s="65">
        <f t="shared" si="1"/>
        <v>0.66414201217622426</v>
      </c>
      <c r="H15" s="58">
        <v>773667.48</v>
      </c>
      <c r="I15" s="65">
        <f t="shared" si="2"/>
        <v>0.65940397149567997</v>
      </c>
      <c r="J15" s="58">
        <v>770568.68</v>
      </c>
      <c r="K15" s="66">
        <f t="shared" si="3"/>
        <v>1.0572966669119617</v>
      </c>
    </row>
    <row r="16" spans="2:11">
      <c r="B16" s="55" t="s">
        <v>43</v>
      </c>
      <c r="C16" s="64">
        <v>778644.8125</v>
      </c>
      <c r="D16" s="56">
        <v>778644</v>
      </c>
      <c r="E16" s="65">
        <f>(C16-D16)/C16*100</f>
        <v>1.0434796289097475E-4</v>
      </c>
      <c r="F16" s="56">
        <v>771506.34</v>
      </c>
      <c r="G16" s="65">
        <f t="shared" si="1"/>
        <v>0.91678161665015045</v>
      </c>
      <c r="H16" s="58">
        <v>778644.65</v>
      </c>
      <c r="I16" s="65">
        <f t="shared" si="2"/>
        <v>2.0869592575204749E-5</v>
      </c>
      <c r="J16" s="58">
        <v>769541.55</v>
      </c>
      <c r="K16" s="66">
        <f t="shared" si="3"/>
        <v>1.1691161815837505</v>
      </c>
    </row>
    <row r="17" spans="2:11">
      <c r="B17" s="55" t="s">
        <v>44</v>
      </c>
      <c r="C17" s="64">
        <v>11295054.199999999</v>
      </c>
      <c r="D17" s="57">
        <v>11149718.3858</v>
      </c>
      <c r="E17" s="65">
        <f t="shared" si="0"/>
        <v>1.2867208215786958</v>
      </c>
      <c r="F17" s="56">
        <v>11131853.85</v>
      </c>
      <c r="G17" s="65">
        <f t="shared" si="1"/>
        <v>1.4448832835171312</v>
      </c>
      <c r="H17" s="58">
        <v>11151650.172</v>
      </c>
      <c r="I17" s="65">
        <f t="shared" si="2"/>
        <v>1.2696178828429086</v>
      </c>
      <c r="J17" s="58">
        <v>11114922.75</v>
      </c>
      <c r="K17" s="66">
        <f t="shared" si="3"/>
        <v>1.5947816346025083</v>
      </c>
    </row>
    <row r="18" spans="2:11" ht="17" thickBot="1">
      <c r="B18" s="54" t="s">
        <v>45</v>
      </c>
      <c r="C18" s="64">
        <v>11307104.800000001</v>
      </c>
      <c r="D18" s="56">
        <v>11163943.890000001</v>
      </c>
      <c r="E18" s="65">
        <f t="shared" si="0"/>
        <v>1.2661146467838535</v>
      </c>
      <c r="F18" s="56">
        <v>11128123.063999999</v>
      </c>
      <c r="G18" s="65">
        <f t="shared" si="1"/>
        <v>1.5829139215195158</v>
      </c>
      <c r="H18" s="58">
        <v>11166644.82</v>
      </c>
      <c r="I18" s="65">
        <f t="shared" si="2"/>
        <v>1.242227630188768</v>
      </c>
      <c r="J18" s="58">
        <v>11136758.91</v>
      </c>
      <c r="K18" s="66">
        <f t="shared" si="3"/>
        <v>1.5065385261132502</v>
      </c>
    </row>
    <row r="19" spans="2:11">
      <c r="B19" s="53" t="s">
        <v>46</v>
      </c>
      <c r="C19" s="64">
        <v>24899703</v>
      </c>
      <c r="D19" s="56">
        <v>24635667</v>
      </c>
      <c r="E19" s="65">
        <f t="shared" si="0"/>
        <v>1.0603981902916675</v>
      </c>
      <c r="F19" s="56">
        <v>24606863.66</v>
      </c>
      <c r="G19" s="65">
        <f t="shared" si="1"/>
        <v>1.1760756343157981</v>
      </c>
      <c r="H19" s="56">
        <v>24620869</v>
      </c>
      <c r="I19" s="65">
        <f t="shared" si="2"/>
        <v>1.1198286180361268</v>
      </c>
      <c r="J19" s="56">
        <v>24592716.66</v>
      </c>
      <c r="K19" s="66">
        <f t="shared" si="3"/>
        <v>1.2328915730440635</v>
      </c>
    </row>
    <row r="20" spans="2:11">
      <c r="B20" s="55" t="s">
        <v>47</v>
      </c>
      <c r="C20" s="64">
        <v>43476251</v>
      </c>
      <c r="D20" s="56">
        <v>43042977</v>
      </c>
      <c r="E20" s="65">
        <f t="shared" si="0"/>
        <v>0.99657626873117466</v>
      </c>
      <c r="F20" s="56">
        <v>42995575</v>
      </c>
      <c r="G20" s="65">
        <f t="shared" si="1"/>
        <v>1.1056059088443482</v>
      </c>
      <c r="H20" s="58">
        <v>43040038</v>
      </c>
      <c r="I20" s="65">
        <f t="shared" si="2"/>
        <v>1.0033362812262723</v>
      </c>
      <c r="J20" s="58">
        <v>42999057.659999996</v>
      </c>
      <c r="K20" s="66">
        <f t="shared" si="3"/>
        <v>1.0975954205435137</v>
      </c>
    </row>
    <row r="21" spans="2:11">
      <c r="B21" s="55" t="s">
        <v>48</v>
      </c>
      <c r="C21" s="64">
        <v>66992877</v>
      </c>
      <c r="D21" s="56">
        <v>66466372</v>
      </c>
      <c r="E21" s="65">
        <f t="shared" si="0"/>
        <v>0.78591191120214177</v>
      </c>
      <c r="F21" s="56">
        <v>66426189.329999998</v>
      </c>
      <c r="G21" s="65">
        <f t="shared" si="1"/>
        <v>0.84589242226453687</v>
      </c>
      <c r="H21" s="58">
        <v>66494990</v>
      </c>
      <c r="I21" s="65">
        <f t="shared" si="2"/>
        <v>0.74319393687182589</v>
      </c>
      <c r="J21" s="58">
        <v>66474136.659999996</v>
      </c>
      <c r="K21" s="66">
        <f t="shared" si="3"/>
        <v>0.77432163422389455</v>
      </c>
    </row>
    <row r="22" spans="2:11" ht="17" thickBot="1">
      <c r="B22" s="54" t="s">
        <v>49</v>
      </c>
      <c r="C22" s="67">
        <v>95643586</v>
      </c>
      <c r="D22" s="68">
        <v>94937030</v>
      </c>
      <c r="E22" s="69">
        <f t="shared" si="0"/>
        <v>0.73873850777615135</v>
      </c>
      <c r="F22" s="68">
        <v>94910005.659999996</v>
      </c>
      <c r="G22" s="69">
        <f t="shared" si="1"/>
        <v>0.76699376370100092</v>
      </c>
      <c r="H22" s="68">
        <v>94880275</v>
      </c>
      <c r="I22" s="69">
        <f t="shared" si="2"/>
        <v>0.79807860821947862</v>
      </c>
      <c r="J22" s="68">
        <v>94855227.329999998</v>
      </c>
      <c r="K22" s="70">
        <f t="shared" si="3"/>
        <v>0.82426715995362387</v>
      </c>
    </row>
  </sheetData>
  <mergeCells count="2">
    <mergeCell ref="C2:C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NIVELES DE PERTURBACION</vt:lpstr>
      <vt:lpstr>RESULTADOS TEST VNS</vt:lpstr>
      <vt:lpstr>COMPARACIONES TIEMPO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2025-12-08T04:24:46Z</dcterms:created>
  <dcterms:modified xsi:type="dcterms:W3CDTF">2025-12-13T10:54:40Z</dcterms:modified>
</cp:coreProperties>
</file>